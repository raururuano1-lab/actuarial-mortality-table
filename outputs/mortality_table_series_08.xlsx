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ente_mx" sheetId="1" r:id="rId1"/>
    <sheet name="Tabla_Mortalidad" sheetId="2" r:id="rId2"/>
    <sheet name="Controles" sheetId="3" r:id="rId3"/>
    <sheet name="Graficas" sheetId="4" r:id="rId4"/>
  </sheets>
  <definedNames>
    <definedName name="_xlnm._FilterDatabase" localSheetId="0" hidden="1">Fuente_mx!$A$6:$D$116</definedName>
    <definedName name="_xlnm._FilterDatabase" localSheetId="1" hidden="1">Tabla_Mortalidad!$A$5:$I$115</definedName>
  </definedNames>
  <calcPr calcId="124519" fullCalcOnLoad="1"/>
</workbook>
</file>

<file path=xl/sharedStrings.xml><?xml version="1.0" encoding="utf-8"?>
<sst xmlns="http://schemas.openxmlformats.org/spreadsheetml/2006/main" count="433" uniqueCount="306">
  <si>
    <t>Fuente de tasas específicas de mortalidad — Serie 08</t>
  </si>
  <si>
    <t>Archivo fuente</t>
  </si>
  <si>
    <t>mortality_rates_series_08.csv</t>
  </si>
  <si>
    <t>Hoja</t>
  </si>
  <si>
    <t>Tasas Específicas de Mortalidad</t>
  </si>
  <si>
    <t>Serie / columna</t>
  </si>
  <si>
    <t>8 / mx</t>
  </si>
  <si>
    <t>Estudiante</t>
  </si>
  <si>
    <t>Raúl Antonio Ruano Katz</t>
  </si>
  <si>
    <t>Edad</t>
  </si>
  <si>
    <t>Edad numérica</t>
  </si>
  <si>
    <t>mx</t>
  </si>
  <si>
    <t>Celda de origen</t>
  </si>
  <si>
    <t>0</t>
  </si>
  <si>
    <t>mx5</t>
  </si>
  <si>
    <t>1</t>
  </si>
  <si>
    <t>mx6</t>
  </si>
  <si>
    <t>2</t>
  </si>
  <si>
    <t>mx7</t>
  </si>
  <si>
    <t>3</t>
  </si>
  <si>
    <t>mx8</t>
  </si>
  <si>
    <t>4</t>
  </si>
  <si>
    <t>mx9</t>
  </si>
  <si>
    <t>5</t>
  </si>
  <si>
    <t>mx10</t>
  </si>
  <si>
    <t>6</t>
  </si>
  <si>
    <t>mx11</t>
  </si>
  <si>
    <t>7</t>
  </si>
  <si>
    <t>mx12</t>
  </si>
  <si>
    <t>8</t>
  </si>
  <si>
    <t>mx13</t>
  </si>
  <si>
    <t>9</t>
  </si>
  <si>
    <t>mx14</t>
  </si>
  <si>
    <t>10</t>
  </si>
  <si>
    <t>mx15</t>
  </si>
  <si>
    <t>11</t>
  </si>
  <si>
    <t>mx16</t>
  </si>
  <si>
    <t>12</t>
  </si>
  <si>
    <t>mx17</t>
  </si>
  <si>
    <t>13</t>
  </si>
  <si>
    <t>mx18</t>
  </si>
  <si>
    <t>14</t>
  </si>
  <si>
    <t>mx19</t>
  </si>
  <si>
    <t>15</t>
  </si>
  <si>
    <t>mx20</t>
  </si>
  <si>
    <t>16</t>
  </si>
  <si>
    <t>mx21</t>
  </si>
  <si>
    <t>17</t>
  </si>
  <si>
    <t>mx22</t>
  </si>
  <si>
    <t>18</t>
  </si>
  <si>
    <t>mx23</t>
  </si>
  <si>
    <t>19</t>
  </si>
  <si>
    <t>mx24</t>
  </si>
  <si>
    <t>20</t>
  </si>
  <si>
    <t>mx25</t>
  </si>
  <si>
    <t>21</t>
  </si>
  <si>
    <t>mx26</t>
  </si>
  <si>
    <t>22</t>
  </si>
  <si>
    <t>mx27</t>
  </si>
  <si>
    <t>23</t>
  </si>
  <si>
    <t>mx28</t>
  </si>
  <si>
    <t>24</t>
  </si>
  <si>
    <t>mx29</t>
  </si>
  <si>
    <t>25</t>
  </si>
  <si>
    <t>mx30</t>
  </si>
  <si>
    <t>26</t>
  </si>
  <si>
    <t>mx31</t>
  </si>
  <si>
    <t>27</t>
  </si>
  <si>
    <t>mx32</t>
  </si>
  <si>
    <t>28</t>
  </si>
  <si>
    <t>mx33</t>
  </si>
  <si>
    <t>29</t>
  </si>
  <si>
    <t>mx34</t>
  </si>
  <si>
    <t>30</t>
  </si>
  <si>
    <t>mx35</t>
  </si>
  <si>
    <t>31</t>
  </si>
  <si>
    <t>mx36</t>
  </si>
  <si>
    <t>32</t>
  </si>
  <si>
    <t>mx37</t>
  </si>
  <si>
    <t>33</t>
  </si>
  <si>
    <t>mx38</t>
  </si>
  <si>
    <t>34</t>
  </si>
  <si>
    <t>mx39</t>
  </si>
  <si>
    <t>35</t>
  </si>
  <si>
    <t>mx40</t>
  </si>
  <si>
    <t>36</t>
  </si>
  <si>
    <t>mx41</t>
  </si>
  <si>
    <t>37</t>
  </si>
  <si>
    <t>mx42</t>
  </si>
  <si>
    <t>38</t>
  </si>
  <si>
    <t>mx43</t>
  </si>
  <si>
    <t>39</t>
  </si>
  <si>
    <t>mx44</t>
  </si>
  <si>
    <t>40</t>
  </si>
  <si>
    <t>mx45</t>
  </si>
  <si>
    <t>41</t>
  </si>
  <si>
    <t>mx46</t>
  </si>
  <si>
    <t>42</t>
  </si>
  <si>
    <t>mx47</t>
  </si>
  <si>
    <t>43</t>
  </si>
  <si>
    <t>mx48</t>
  </si>
  <si>
    <t>44</t>
  </si>
  <si>
    <t>mx49</t>
  </si>
  <si>
    <t>45</t>
  </si>
  <si>
    <t>mx50</t>
  </si>
  <si>
    <t>46</t>
  </si>
  <si>
    <t>mx51</t>
  </si>
  <si>
    <t>47</t>
  </si>
  <si>
    <t>mx52</t>
  </si>
  <si>
    <t>48</t>
  </si>
  <si>
    <t>mx53</t>
  </si>
  <si>
    <t>49</t>
  </si>
  <si>
    <t>mx54</t>
  </si>
  <si>
    <t>50</t>
  </si>
  <si>
    <t>mx55</t>
  </si>
  <si>
    <t>51</t>
  </si>
  <si>
    <t>mx56</t>
  </si>
  <si>
    <t>52</t>
  </si>
  <si>
    <t>mx57</t>
  </si>
  <si>
    <t>53</t>
  </si>
  <si>
    <t>mx58</t>
  </si>
  <si>
    <t>54</t>
  </si>
  <si>
    <t>mx59</t>
  </si>
  <si>
    <t>55</t>
  </si>
  <si>
    <t>mx60</t>
  </si>
  <si>
    <t>56</t>
  </si>
  <si>
    <t>mx61</t>
  </si>
  <si>
    <t>57</t>
  </si>
  <si>
    <t>mx62</t>
  </si>
  <si>
    <t>58</t>
  </si>
  <si>
    <t>mx63</t>
  </si>
  <si>
    <t>59</t>
  </si>
  <si>
    <t>mx64</t>
  </si>
  <si>
    <t>60</t>
  </si>
  <si>
    <t>mx65</t>
  </si>
  <si>
    <t>61</t>
  </si>
  <si>
    <t>mx66</t>
  </si>
  <si>
    <t>62</t>
  </si>
  <si>
    <t>mx67</t>
  </si>
  <si>
    <t>63</t>
  </si>
  <si>
    <t>mx68</t>
  </si>
  <si>
    <t>64</t>
  </si>
  <si>
    <t>mx69</t>
  </si>
  <si>
    <t>65</t>
  </si>
  <si>
    <t>mx70</t>
  </si>
  <si>
    <t>66</t>
  </si>
  <si>
    <t>mx71</t>
  </si>
  <si>
    <t>67</t>
  </si>
  <si>
    <t>mx72</t>
  </si>
  <si>
    <t>68</t>
  </si>
  <si>
    <t>mx73</t>
  </si>
  <si>
    <t>69</t>
  </si>
  <si>
    <t>mx74</t>
  </si>
  <si>
    <t>70</t>
  </si>
  <si>
    <t>mx75</t>
  </si>
  <si>
    <t>71</t>
  </si>
  <si>
    <t>mx76</t>
  </si>
  <si>
    <t>72</t>
  </si>
  <si>
    <t>mx77</t>
  </si>
  <si>
    <t>73</t>
  </si>
  <si>
    <t>mx78</t>
  </si>
  <si>
    <t>74</t>
  </si>
  <si>
    <t>mx79</t>
  </si>
  <si>
    <t>75</t>
  </si>
  <si>
    <t>mx80</t>
  </si>
  <si>
    <t>76</t>
  </si>
  <si>
    <t>mx81</t>
  </si>
  <si>
    <t>77</t>
  </si>
  <si>
    <t>mx82</t>
  </si>
  <si>
    <t>78</t>
  </si>
  <si>
    <t>mx83</t>
  </si>
  <si>
    <t>79</t>
  </si>
  <si>
    <t>mx84</t>
  </si>
  <si>
    <t>80</t>
  </si>
  <si>
    <t>mx85</t>
  </si>
  <si>
    <t>81</t>
  </si>
  <si>
    <t>mx86</t>
  </si>
  <si>
    <t>82</t>
  </si>
  <si>
    <t>mx87</t>
  </si>
  <si>
    <t>83</t>
  </si>
  <si>
    <t>mx88</t>
  </si>
  <si>
    <t>84</t>
  </si>
  <si>
    <t>mx89</t>
  </si>
  <si>
    <t>85</t>
  </si>
  <si>
    <t>mx90</t>
  </si>
  <si>
    <t>86</t>
  </si>
  <si>
    <t>mx91</t>
  </si>
  <si>
    <t>87</t>
  </si>
  <si>
    <t>mx92</t>
  </si>
  <si>
    <t>88</t>
  </si>
  <si>
    <t>mx93</t>
  </si>
  <si>
    <t>89</t>
  </si>
  <si>
    <t>mx94</t>
  </si>
  <si>
    <t>90</t>
  </si>
  <si>
    <t>mx95</t>
  </si>
  <si>
    <t>91</t>
  </si>
  <si>
    <t>mx96</t>
  </si>
  <si>
    <t>92</t>
  </si>
  <si>
    <t>mx97</t>
  </si>
  <si>
    <t>93</t>
  </si>
  <si>
    <t>mx98</t>
  </si>
  <si>
    <t>94</t>
  </si>
  <si>
    <t>mx99</t>
  </si>
  <si>
    <t>95</t>
  </si>
  <si>
    <t>mx100</t>
  </si>
  <si>
    <t>96</t>
  </si>
  <si>
    <t>mx101</t>
  </si>
  <si>
    <t>97</t>
  </si>
  <si>
    <t>mx102</t>
  </si>
  <si>
    <t>98</t>
  </si>
  <si>
    <t>mx103</t>
  </si>
  <si>
    <t>99</t>
  </si>
  <si>
    <t>mx104</t>
  </si>
  <si>
    <t>100</t>
  </si>
  <si>
    <t>mx105</t>
  </si>
  <si>
    <t>101</t>
  </si>
  <si>
    <t>mx106</t>
  </si>
  <si>
    <t>102</t>
  </si>
  <si>
    <t>mx107</t>
  </si>
  <si>
    <t>103</t>
  </si>
  <si>
    <t>mx108</t>
  </si>
  <si>
    <t>104</t>
  </si>
  <si>
    <t>mx109</t>
  </si>
  <si>
    <t>105</t>
  </si>
  <si>
    <t>mx110</t>
  </si>
  <si>
    <t>106</t>
  </si>
  <si>
    <t>mx111</t>
  </si>
  <si>
    <t>107</t>
  </si>
  <si>
    <t>mx112</t>
  </si>
  <si>
    <t>108</t>
  </si>
  <si>
    <t>mx113</t>
  </si>
  <si>
    <t>109 y+</t>
  </si>
  <si>
    <t>mx114</t>
  </si>
  <si>
    <t>Tabla completa de mortalidad — Serie 08</t>
  </si>
  <si>
    <t>Supuestos</t>
  </si>
  <si>
    <t>UDD; ax=0.5; radix l0=100,000; q(109+)=1; sin redondeo intermedio.</t>
  </si>
  <si>
    <t>qx</t>
  </si>
  <si>
    <t>px</t>
  </si>
  <si>
    <t>lx</t>
  </si>
  <si>
    <t>dx</t>
  </si>
  <si>
    <t>Lx</t>
  </si>
  <si>
    <t>Tx</t>
  </si>
  <si>
    <t>ex</t>
  </si>
  <si>
    <t>Función</t>
  </si>
  <si>
    <t>Definición aplicada</t>
  </si>
  <si>
    <t>2mx/(2+mx); en 109 y+ se impone qx=1</t>
  </si>
  <si>
    <t>1-qx</t>
  </si>
  <si>
    <t>l0=100,000; l(x+1)=lx-dx</t>
  </si>
  <si>
    <t>lx·qx</t>
  </si>
  <si>
    <t>lx-0.5dx; en 109 y+ equivale a lx/2</t>
  </si>
  <si>
    <t>suma de L desde x hasta 109 y+</t>
  </si>
  <si>
    <t>Tx/lx</t>
  </si>
  <si>
    <t>Controles actuariales y numéricos</t>
  </si>
  <si>
    <t>Todos los controles se calculan con valores sin redondear.</t>
  </si>
  <si>
    <t>Control</t>
  </si>
  <si>
    <t>Resultado</t>
  </si>
  <si>
    <t>Evidencia</t>
  </si>
  <si>
    <t>Tolerancia</t>
  </si>
  <si>
    <t>Fórmula dinámica</t>
  </si>
  <si>
    <t>Probabilidades dentro de [0,1]</t>
  </si>
  <si>
    <t>mín=0.000417372882; máx=1.000000000000</t>
  </si>
  <si>
    <t>0 violaciones</t>
  </si>
  <si>
    <t>lx no negativa y no creciente</t>
  </si>
  <si>
    <t>mín=8.862930973; aumentos=0</t>
  </si>
  <si>
    <t>0 aumentos</t>
  </si>
  <si>
    <t>dx no negativa</t>
  </si>
  <si>
    <t>mín=8.862930973293</t>
  </si>
  <si>
    <t>mínimo ≥ 0</t>
  </si>
  <si>
    <t>Recurrencia l(x+1)=lx-dx</t>
  </si>
  <si>
    <t>error máximo=1.455e-11</t>
  </si>
  <si>
    <t>≤ 1e-8</t>
  </si>
  <si>
    <t>Suma de defunciones igual al radix</t>
  </si>
  <si>
    <t>Σdx=100000.0000000000; diferencia=0.000e+00</t>
  </si>
  <si>
    <t>Extinción después de 109 y+</t>
  </si>
  <si>
    <t>l109-d109=0.000e+00</t>
  </si>
  <si>
    <t>≤ 1e-10</t>
  </si>
  <si>
    <t>l(x+1) ≤ Lx ≤ lx</t>
  </si>
  <si>
    <t>violaciones superiores=0; inferiores=0</t>
  </si>
  <si>
    <t>Recurrencia Tx=Lx+T(x+1)</t>
  </si>
  <si>
    <t>error máximo=2.328e-10</t>
  </si>
  <si>
    <t>T(109+)=L(109+)</t>
  </si>
  <si>
    <t>diferencia=0.000e+00</t>
  </si>
  <si>
    <t>≤ 1e-12</t>
  </si>
  <si>
    <t>Identidad ex=Tx/lx</t>
  </si>
  <si>
    <t>error máximo=0.000e+00</t>
  </si>
  <si>
    <t>Cierre q109+=1 y e109+=0.5</t>
  </si>
  <si>
    <t>q=1.000000000000; e=0.500000000000</t>
  </si>
  <si>
    <t>valores exactos</t>
  </si>
  <si>
    <t>110 edades completas y sin nulos</t>
  </si>
  <si>
    <t>filas=110; nulos=0</t>
  </si>
  <si>
    <t>110 filas; 0 nulos</t>
  </si>
  <si>
    <t>Resultados clave</t>
  </si>
  <si>
    <t>e0</t>
  </si>
  <si>
    <t>70.633625</t>
  </si>
  <si>
    <t>Edad del mínimo de mx</t>
  </si>
  <si>
    <t>Mínimo mx</t>
  </si>
  <si>
    <t>0.0004174600</t>
  </si>
  <si>
    <t>Edad del máximo de dx</t>
  </si>
  <si>
    <t>Máximo dx</t>
  </si>
  <si>
    <t>2,603.012876</t>
  </si>
  <si>
    <t>Pico adulto de dx</t>
  </si>
  <si>
    <t>edad 81: 2,586.990946</t>
  </si>
  <si>
    <t>Σdx</t>
  </si>
  <si>
    <t>100,000.0000000000</t>
  </si>
  <si>
    <t>Gráficas de funciones biométricas — Serie 08</t>
  </si>
  <si>
    <t>Estudiante: Raúl Antonio Ruano Katz. Imágenes generadas con los valores sin redondear.</t>
  </si>
</sst>
</file>

<file path=xl/styles.xml><?xml version="1.0" encoding="utf-8"?>
<styleSheet xmlns="http://schemas.openxmlformats.org/spreadsheetml/2006/main">
  <numFmts count="3">
    <numFmt numFmtId="164" formatCode="0.00000000"/>
    <numFmt numFmtId="165" formatCode="#,##0.000000"/>
    <numFmt numFmtId="166" formatCode="0.000000"/>
  </numFmts>
  <fonts count="6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17365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9"/>
      <color rgb="FF555555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/>
    <xf numFmtId="0" fontId="4" fillId="0" borderId="0" xfId="0" applyFont="1" applyAlignment="1">
      <alignment wrapText="1"/>
    </xf>
    <xf numFmtId="165" fontId="0" fillId="0" borderId="1" xfId="0" applyNumberFormat="1" applyBorder="1"/>
    <xf numFmtId="166" fontId="0" fillId="0" borderId="1" xfId="0" applyNumberFormat="1" applyBorder="1"/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vertical="top"/>
    </xf>
    <xf numFmtId="0" fontId="5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4</xdr:col>
      <xdr:colOff>535617</xdr:colOff>
      <xdr:row>12</xdr:row>
      <xdr:rowOff>98206</xdr:rowOff>
    </xdr:to>
    <xdr:pic>
      <xdr:nvPicPr>
        <xdr:cNvPr id="2" name="Picture 1" descr="01_mx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95325"/>
          <a:ext cx="3126417" cy="1812706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3</xdr:row>
      <xdr:rowOff>0</xdr:rowOff>
    </xdr:from>
    <xdr:to>
      <xdr:col>13</xdr:col>
      <xdr:colOff>535617</xdr:colOff>
      <xdr:row>12</xdr:row>
      <xdr:rowOff>98206</xdr:rowOff>
    </xdr:to>
    <xdr:pic>
      <xdr:nvPicPr>
        <xdr:cNvPr id="3" name="Picture 2" descr="02_qx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29300" y="695325"/>
          <a:ext cx="3126417" cy="181270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535617</xdr:colOff>
      <xdr:row>39</xdr:row>
      <xdr:rowOff>98206</xdr:rowOff>
    </xdr:to>
    <xdr:pic>
      <xdr:nvPicPr>
        <xdr:cNvPr id="4" name="Picture 3" descr="03_lx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838825"/>
          <a:ext cx="3126417" cy="1812706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30</xdr:row>
      <xdr:rowOff>0</xdr:rowOff>
    </xdr:from>
    <xdr:to>
      <xdr:col>13</xdr:col>
      <xdr:colOff>535617</xdr:colOff>
      <xdr:row>39</xdr:row>
      <xdr:rowOff>96666</xdr:rowOff>
    </xdr:to>
    <xdr:pic>
      <xdr:nvPicPr>
        <xdr:cNvPr id="5" name="Picture 4" descr="04_dx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829300" y="5838825"/>
          <a:ext cx="3126417" cy="181116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4</xdr:col>
      <xdr:colOff>535617</xdr:colOff>
      <xdr:row>66</xdr:row>
      <xdr:rowOff>96666</xdr:rowOff>
    </xdr:to>
    <xdr:pic>
      <xdr:nvPicPr>
        <xdr:cNvPr id="6" name="Picture 5" descr="05_Lx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0982325"/>
          <a:ext cx="3126417" cy="1811166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57</xdr:row>
      <xdr:rowOff>0</xdr:rowOff>
    </xdr:from>
    <xdr:to>
      <xdr:col>13</xdr:col>
      <xdr:colOff>534077</xdr:colOff>
      <xdr:row>66</xdr:row>
      <xdr:rowOff>96666</xdr:rowOff>
    </xdr:to>
    <xdr:pic>
      <xdr:nvPicPr>
        <xdr:cNvPr id="7" name="Picture 6" descr="06_Tx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829300" y="10982325"/>
          <a:ext cx="3124877" cy="181116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4</xdr:col>
      <xdr:colOff>535617</xdr:colOff>
      <xdr:row>93</xdr:row>
      <xdr:rowOff>98206</xdr:rowOff>
    </xdr:to>
    <xdr:pic>
      <xdr:nvPicPr>
        <xdr:cNvPr id="8" name="Picture 7" descr="07_ex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6125825"/>
          <a:ext cx="3126417" cy="1812706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84</xdr:row>
      <xdr:rowOff>0</xdr:rowOff>
    </xdr:from>
    <xdr:to>
      <xdr:col>13</xdr:col>
      <xdr:colOff>532537</xdr:colOff>
      <xdr:row>93</xdr:row>
      <xdr:rowOff>98206</xdr:rowOff>
    </xdr:to>
    <xdr:pic>
      <xdr:nvPicPr>
        <xdr:cNvPr id="9" name="Picture 8" descr="08_mx_log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829300" y="16125825"/>
          <a:ext cx="3123337" cy="181270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4</xdr:col>
      <xdr:colOff>532537</xdr:colOff>
      <xdr:row>120</xdr:row>
      <xdr:rowOff>98206</xdr:rowOff>
    </xdr:to>
    <xdr:pic>
      <xdr:nvPicPr>
        <xdr:cNvPr id="10" name="Picture 9" descr="09_qx_log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21269325"/>
          <a:ext cx="3123337" cy="1812706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111</xdr:row>
      <xdr:rowOff>0</xdr:rowOff>
    </xdr:from>
    <xdr:to>
      <xdr:col>13</xdr:col>
      <xdr:colOff>535617</xdr:colOff>
      <xdr:row>120</xdr:row>
      <xdr:rowOff>96666</xdr:rowOff>
    </xdr:to>
    <xdr:pic>
      <xdr:nvPicPr>
        <xdr:cNvPr id="11" name="Picture 10" descr="10_mx_qx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829300" y="21269325"/>
          <a:ext cx="3126417" cy="181116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4</xdr:col>
      <xdr:colOff>535617</xdr:colOff>
      <xdr:row>147</xdr:row>
      <xdr:rowOff>96666</xdr:rowOff>
    </xdr:to>
    <xdr:pic>
      <xdr:nvPicPr>
        <xdr:cNvPr id="12" name="Picture 11" descr="11_lx_Lx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26412825"/>
          <a:ext cx="3126417" cy="18111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6"/>
  <sheetViews>
    <sheetView tabSelected="1" workbookViewId="0">
      <pane ySplit="6" topLeftCell="A7" activePane="bottomLeft" state="frozen"/>
      <selection pane="bottomLeft"/>
    </sheetView>
  </sheetViews>
  <sheetFormatPr defaultRowHeight="15"/>
  <cols>
    <col min="1" max="1" width="13.7109375" customWidth="1"/>
    <col min="2" max="2" width="15.7109375" customWidth="1"/>
    <col min="3" max="4" width="16.7109375" customWidth="1"/>
  </cols>
  <sheetData>
    <row r="1" spans="1:4" ht="25" customHeight="1">
      <c r="A1" s="1" t="s">
        <v>0</v>
      </c>
      <c r="B1" s="1"/>
      <c r="C1" s="1"/>
      <c r="D1" s="1"/>
    </row>
    <row r="2" spans="1:4">
      <c r="A2" s="2" t="s">
        <v>1</v>
      </c>
      <c r="B2" t="s">
        <v>2</v>
      </c>
    </row>
    <row r="3" spans="1:4">
      <c r="A3" s="2" t="s">
        <v>3</v>
      </c>
      <c r="B3" t="s">
        <v>4</v>
      </c>
    </row>
    <row r="4" spans="1:4">
      <c r="A4" s="2" t="s">
        <v>5</v>
      </c>
      <c r="B4" t="s">
        <v>6</v>
      </c>
    </row>
    <row r="5" spans="1:4">
      <c r="A5" s="2" t="s">
        <v>7</v>
      </c>
      <c r="B5" t="s">
        <v>8</v>
      </c>
    </row>
    <row r="6" spans="1:4">
      <c r="A6" s="3" t="s">
        <v>9</v>
      </c>
      <c r="B6" s="3" t="s">
        <v>10</v>
      </c>
      <c r="C6" s="3" t="s">
        <v>11</v>
      </c>
      <c r="D6" s="3" t="s">
        <v>12</v>
      </c>
    </row>
    <row r="7" spans="1:4">
      <c r="A7" s="4" t="s">
        <v>13</v>
      </c>
      <c r="B7" s="4">
        <v>0</v>
      </c>
      <c r="C7" s="5">
        <v>0.02637338</v>
      </c>
      <c r="D7" s="4" t="s">
        <v>14</v>
      </c>
    </row>
    <row r="8" spans="1:4">
      <c r="A8" s="4" t="s">
        <v>15</v>
      </c>
      <c r="B8" s="4">
        <v>1</v>
      </c>
      <c r="C8" s="5">
        <v>0.00188616</v>
      </c>
      <c r="D8" s="4" t="s">
        <v>16</v>
      </c>
    </row>
    <row r="9" spans="1:4">
      <c r="A9" s="4" t="s">
        <v>17</v>
      </c>
      <c r="B9" s="4">
        <v>2</v>
      </c>
      <c r="C9" s="5">
        <v>0.00096917</v>
      </c>
      <c r="D9" s="4" t="s">
        <v>18</v>
      </c>
    </row>
    <row r="10" spans="1:4">
      <c r="A10" s="4" t="s">
        <v>19</v>
      </c>
      <c r="B10" s="4">
        <v>3</v>
      </c>
      <c r="C10" s="5">
        <v>0.00067282</v>
      </c>
      <c r="D10" s="4" t="s">
        <v>20</v>
      </c>
    </row>
    <row r="11" spans="1:4">
      <c r="A11" s="4" t="s">
        <v>21</v>
      </c>
      <c r="B11" s="4">
        <v>4</v>
      </c>
      <c r="C11" s="5">
        <v>0.00053941</v>
      </c>
      <c r="D11" s="4" t="s">
        <v>22</v>
      </c>
    </row>
    <row r="12" spans="1:4">
      <c r="A12" s="4" t="s">
        <v>23</v>
      </c>
      <c r="B12" s="4">
        <v>5</v>
      </c>
      <c r="C12" s="5">
        <v>0.00047145</v>
      </c>
      <c r="D12" s="4" t="s">
        <v>24</v>
      </c>
    </row>
    <row r="13" spans="1:4">
      <c r="A13" s="4" t="s">
        <v>25</v>
      </c>
      <c r="B13" s="4">
        <v>6</v>
      </c>
      <c r="C13" s="5">
        <v>0.00043629</v>
      </c>
      <c r="D13" s="4" t="s">
        <v>26</v>
      </c>
    </row>
    <row r="14" spans="1:4">
      <c r="A14" s="4" t="s">
        <v>27</v>
      </c>
      <c r="B14" s="4">
        <v>7</v>
      </c>
      <c r="C14" s="5">
        <v>0.00042028</v>
      </c>
      <c r="D14" s="4" t="s">
        <v>28</v>
      </c>
    </row>
    <row r="15" spans="1:4">
      <c r="A15" s="4" t="s">
        <v>29</v>
      </c>
      <c r="B15" s="4">
        <v>8</v>
      </c>
      <c r="C15" s="5">
        <v>0.00041746</v>
      </c>
      <c r="D15" s="4" t="s">
        <v>30</v>
      </c>
    </row>
    <row r="16" spans="1:4">
      <c r="A16" s="4" t="s">
        <v>31</v>
      </c>
      <c r="B16" s="4">
        <v>9</v>
      </c>
      <c r="C16" s="5">
        <v>0.00042593</v>
      </c>
      <c r="D16" s="4" t="s">
        <v>32</v>
      </c>
    </row>
    <row r="17" spans="1:4">
      <c r="A17" s="4" t="s">
        <v>33</v>
      </c>
      <c r="B17" s="4">
        <v>10</v>
      </c>
      <c r="C17" s="5">
        <v>0.00044654</v>
      </c>
      <c r="D17" s="4" t="s">
        <v>34</v>
      </c>
    </row>
    <row r="18" spans="1:4">
      <c r="A18" s="4" t="s">
        <v>35</v>
      </c>
      <c r="B18" s="4">
        <v>11</v>
      </c>
      <c r="C18" s="5">
        <v>0.00048185</v>
      </c>
      <c r="D18" s="4" t="s">
        <v>36</v>
      </c>
    </row>
    <row r="19" spans="1:4">
      <c r="A19" s="4" t="s">
        <v>37</v>
      </c>
      <c r="B19" s="4">
        <v>12</v>
      </c>
      <c r="C19" s="5">
        <v>0.00053507</v>
      </c>
      <c r="D19" s="4" t="s">
        <v>38</v>
      </c>
    </row>
    <row r="20" spans="1:4">
      <c r="A20" s="4" t="s">
        <v>39</v>
      </c>
      <c r="B20" s="4">
        <v>13</v>
      </c>
      <c r="C20" s="5">
        <v>0.00060902</v>
      </c>
      <c r="D20" s="4" t="s">
        <v>40</v>
      </c>
    </row>
    <row r="21" spans="1:4">
      <c r="A21" s="4" t="s">
        <v>41</v>
      </c>
      <c r="B21" s="4">
        <v>14</v>
      </c>
      <c r="C21" s="5">
        <v>0.00070509</v>
      </c>
      <c r="D21" s="4" t="s">
        <v>42</v>
      </c>
    </row>
    <row r="22" spans="1:4">
      <c r="A22" s="4" t="s">
        <v>43</v>
      </c>
      <c r="B22" s="4">
        <v>15</v>
      </c>
      <c r="C22" s="5">
        <v>0.00082284</v>
      </c>
      <c r="D22" s="4" t="s">
        <v>44</v>
      </c>
    </row>
    <row r="23" spans="1:4">
      <c r="A23" s="4" t="s">
        <v>45</v>
      </c>
      <c r="B23" s="4">
        <v>16</v>
      </c>
      <c r="C23" s="5">
        <v>0.00095989</v>
      </c>
      <c r="D23" s="4" t="s">
        <v>46</v>
      </c>
    </row>
    <row r="24" spans="1:4">
      <c r="A24" s="4" t="s">
        <v>47</v>
      </c>
      <c r="B24" s="4">
        <v>17</v>
      </c>
      <c r="C24" s="5">
        <v>0.00111228</v>
      </c>
      <c r="D24" s="4" t="s">
        <v>48</v>
      </c>
    </row>
    <row r="25" spans="1:4">
      <c r="A25" s="4" t="s">
        <v>49</v>
      </c>
      <c r="B25" s="4">
        <v>18</v>
      </c>
      <c r="C25" s="5">
        <v>0.00127502</v>
      </c>
      <c r="D25" s="4" t="s">
        <v>50</v>
      </c>
    </row>
    <row r="26" spans="1:4">
      <c r="A26" s="4" t="s">
        <v>51</v>
      </c>
      <c r="B26" s="4">
        <v>19</v>
      </c>
      <c r="C26" s="5">
        <v>0.00144277</v>
      </c>
      <c r="D26" s="4" t="s">
        <v>52</v>
      </c>
    </row>
    <row r="27" spans="1:4">
      <c r="A27" s="4" t="s">
        <v>53</v>
      </c>
      <c r="B27" s="4">
        <v>20</v>
      </c>
      <c r="C27" s="5">
        <v>0.00161034</v>
      </c>
      <c r="D27" s="4" t="s">
        <v>54</v>
      </c>
    </row>
    <row r="28" spans="1:4">
      <c r="A28" s="4" t="s">
        <v>55</v>
      </c>
      <c r="B28" s="4">
        <v>21</v>
      </c>
      <c r="C28" s="5">
        <v>0.00177327</v>
      </c>
      <c r="D28" s="4" t="s">
        <v>56</v>
      </c>
    </row>
    <row r="29" spans="1:4">
      <c r="A29" s="4" t="s">
        <v>57</v>
      </c>
      <c r="B29" s="4">
        <v>22</v>
      </c>
      <c r="C29" s="5">
        <v>0.00192808</v>
      </c>
      <c r="D29" s="4" t="s">
        <v>58</v>
      </c>
    </row>
    <row r="30" spans="1:4">
      <c r="A30" s="4" t="s">
        <v>59</v>
      </c>
      <c r="B30" s="4">
        <v>23</v>
      </c>
      <c r="C30" s="5">
        <v>0.00207237</v>
      </c>
      <c r="D30" s="4" t="s">
        <v>60</v>
      </c>
    </row>
    <row r="31" spans="1:4">
      <c r="A31" s="4" t="s">
        <v>61</v>
      </c>
      <c r="B31" s="4">
        <v>24</v>
      </c>
      <c r="C31" s="5">
        <v>0.00220494</v>
      </c>
      <c r="D31" s="4" t="s">
        <v>62</v>
      </c>
    </row>
    <row r="32" spans="1:4">
      <c r="A32" s="4" t="s">
        <v>63</v>
      </c>
      <c r="B32" s="4">
        <v>25</v>
      </c>
      <c r="C32" s="5">
        <v>0.0023256</v>
      </c>
      <c r="D32" s="4" t="s">
        <v>64</v>
      </c>
    </row>
    <row r="33" spans="1:4">
      <c r="A33" s="4" t="s">
        <v>65</v>
      </c>
      <c r="B33" s="4">
        <v>26</v>
      </c>
      <c r="C33" s="5">
        <v>0.0024351</v>
      </c>
      <c r="D33" s="4" t="s">
        <v>66</v>
      </c>
    </row>
    <row r="34" spans="1:4">
      <c r="A34" s="4" t="s">
        <v>67</v>
      </c>
      <c r="B34" s="4">
        <v>27</v>
      </c>
      <c r="C34" s="5">
        <v>0.00253491</v>
      </c>
      <c r="D34" s="4" t="s">
        <v>68</v>
      </c>
    </row>
    <row r="35" spans="1:4">
      <c r="A35" s="4" t="s">
        <v>69</v>
      </c>
      <c r="B35" s="4">
        <v>28</v>
      </c>
      <c r="C35" s="5">
        <v>0.00262703</v>
      </c>
      <c r="D35" s="4" t="s">
        <v>70</v>
      </c>
    </row>
    <row r="36" spans="1:4">
      <c r="A36" s="4" t="s">
        <v>71</v>
      </c>
      <c r="B36" s="4">
        <v>29</v>
      </c>
      <c r="C36" s="5">
        <v>0.00271383</v>
      </c>
      <c r="D36" s="4" t="s">
        <v>72</v>
      </c>
    </row>
    <row r="37" spans="1:4">
      <c r="A37" s="4" t="s">
        <v>73</v>
      </c>
      <c r="B37" s="4">
        <v>30</v>
      </c>
      <c r="C37" s="5">
        <v>0.00279794</v>
      </c>
      <c r="D37" s="4" t="s">
        <v>74</v>
      </c>
    </row>
    <row r="38" spans="1:4">
      <c r="A38" s="4" t="s">
        <v>75</v>
      </c>
      <c r="B38" s="4">
        <v>31</v>
      </c>
      <c r="C38" s="5">
        <v>0.00288204</v>
      </c>
      <c r="D38" s="4" t="s">
        <v>76</v>
      </c>
    </row>
    <row r="39" spans="1:4">
      <c r="A39" s="4" t="s">
        <v>77</v>
      </c>
      <c r="B39" s="4">
        <v>32</v>
      </c>
      <c r="C39" s="5">
        <v>0.00296884</v>
      </c>
      <c r="D39" s="4" t="s">
        <v>78</v>
      </c>
    </row>
    <row r="40" spans="1:4">
      <c r="A40" s="4" t="s">
        <v>79</v>
      </c>
      <c r="B40" s="4">
        <v>33</v>
      </c>
      <c r="C40" s="5">
        <v>0.003061</v>
      </c>
      <c r="D40" s="4" t="s">
        <v>80</v>
      </c>
    </row>
    <row r="41" spans="1:4">
      <c r="A41" s="4" t="s">
        <v>81</v>
      </c>
      <c r="B41" s="4">
        <v>34</v>
      </c>
      <c r="C41" s="5">
        <v>0.00316102</v>
      </c>
      <c r="D41" s="4" t="s">
        <v>82</v>
      </c>
    </row>
    <row r="42" spans="1:4">
      <c r="A42" s="4" t="s">
        <v>83</v>
      </c>
      <c r="B42" s="4">
        <v>35</v>
      </c>
      <c r="C42" s="5">
        <v>0.00327133</v>
      </c>
      <c r="D42" s="4" t="s">
        <v>84</v>
      </c>
    </row>
    <row r="43" spans="1:4">
      <c r="A43" s="4" t="s">
        <v>85</v>
      </c>
      <c r="B43" s="4">
        <v>36</v>
      </c>
      <c r="C43" s="5">
        <v>0.00339419</v>
      </c>
      <c r="D43" s="4" t="s">
        <v>86</v>
      </c>
    </row>
    <row r="44" spans="1:4">
      <c r="A44" s="4" t="s">
        <v>87</v>
      </c>
      <c r="B44" s="4">
        <v>37</v>
      </c>
      <c r="C44" s="5">
        <v>0.00353175</v>
      </c>
      <c r="D44" s="4" t="s">
        <v>88</v>
      </c>
    </row>
    <row r="45" spans="1:4">
      <c r="A45" s="4" t="s">
        <v>89</v>
      </c>
      <c r="B45" s="4">
        <v>38</v>
      </c>
      <c r="C45" s="5">
        <v>0.00368602</v>
      </c>
      <c r="D45" s="4" t="s">
        <v>90</v>
      </c>
    </row>
    <row r="46" spans="1:4">
      <c r="A46" s="4" t="s">
        <v>91</v>
      </c>
      <c r="B46" s="4">
        <v>39</v>
      </c>
      <c r="C46" s="5">
        <v>0.00385892</v>
      </c>
      <c r="D46" s="4" t="s">
        <v>92</v>
      </c>
    </row>
    <row r="47" spans="1:4">
      <c r="A47" s="4" t="s">
        <v>93</v>
      </c>
      <c r="B47" s="4">
        <v>40</v>
      </c>
      <c r="C47" s="5">
        <v>0.00405233</v>
      </c>
      <c r="D47" s="4" t="s">
        <v>94</v>
      </c>
    </row>
    <row r="48" spans="1:4">
      <c r="A48" s="4" t="s">
        <v>95</v>
      </c>
      <c r="B48" s="4">
        <v>41</v>
      </c>
      <c r="C48" s="5">
        <v>0.00426807</v>
      </c>
      <c r="D48" s="4" t="s">
        <v>96</v>
      </c>
    </row>
    <row r="49" spans="1:4">
      <c r="A49" s="4" t="s">
        <v>97</v>
      </c>
      <c r="B49" s="4">
        <v>42</v>
      </c>
      <c r="C49" s="5">
        <v>0.00450793</v>
      </c>
      <c r="D49" s="4" t="s">
        <v>98</v>
      </c>
    </row>
    <row r="50" spans="1:4">
      <c r="A50" s="4" t="s">
        <v>99</v>
      </c>
      <c r="B50" s="4">
        <v>43</v>
      </c>
      <c r="C50" s="5">
        <v>0.00477374</v>
      </c>
      <c r="D50" s="4" t="s">
        <v>100</v>
      </c>
    </row>
    <row r="51" spans="1:4">
      <c r="A51" s="4" t="s">
        <v>101</v>
      </c>
      <c r="B51" s="4">
        <v>44</v>
      </c>
      <c r="C51" s="5">
        <v>0.00506736</v>
      </c>
      <c r="D51" s="4" t="s">
        <v>102</v>
      </c>
    </row>
    <row r="52" spans="1:4">
      <c r="A52" s="4" t="s">
        <v>103</v>
      </c>
      <c r="B52" s="4">
        <v>45</v>
      </c>
      <c r="C52" s="5">
        <v>0.00539072</v>
      </c>
      <c r="D52" s="4" t="s">
        <v>104</v>
      </c>
    </row>
    <row r="53" spans="1:4">
      <c r="A53" s="4" t="s">
        <v>105</v>
      </c>
      <c r="B53" s="4">
        <v>46</v>
      </c>
      <c r="C53" s="5">
        <v>0.00574587</v>
      </c>
      <c r="D53" s="4" t="s">
        <v>106</v>
      </c>
    </row>
    <row r="54" spans="1:4">
      <c r="A54" s="4" t="s">
        <v>107</v>
      </c>
      <c r="B54" s="4">
        <v>47</v>
      </c>
      <c r="C54" s="5">
        <v>0.00613491</v>
      </c>
      <c r="D54" s="4" t="s">
        <v>108</v>
      </c>
    </row>
    <row r="55" spans="1:4">
      <c r="A55" s="4" t="s">
        <v>109</v>
      </c>
      <c r="B55" s="4">
        <v>48</v>
      </c>
      <c r="C55" s="5">
        <v>0.00656016</v>
      </c>
      <c r="D55" s="4" t="s">
        <v>110</v>
      </c>
    </row>
    <row r="56" spans="1:4">
      <c r="A56" s="4" t="s">
        <v>111</v>
      </c>
      <c r="B56" s="4">
        <v>49</v>
      </c>
      <c r="C56" s="5">
        <v>0.00702405</v>
      </c>
      <c r="D56" s="4" t="s">
        <v>112</v>
      </c>
    </row>
    <row r="57" spans="1:4">
      <c r="A57" s="4" t="s">
        <v>113</v>
      </c>
      <c r="B57" s="4">
        <v>50</v>
      </c>
      <c r="C57" s="5">
        <v>0.00752922</v>
      </c>
      <c r="D57" s="4" t="s">
        <v>114</v>
      </c>
    </row>
    <row r="58" spans="1:4">
      <c r="A58" s="4" t="s">
        <v>115</v>
      </c>
      <c r="B58" s="4">
        <v>51</v>
      </c>
      <c r="C58" s="5">
        <v>0.008078500000000001</v>
      </c>
      <c r="D58" s="4" t="s">
        <v>116</v>
      </c>
    </row>
    <row r="59" spans="1:4">
      <c r="A59" s="4" t="s">
        <v>117</v>
      </c>
      <c r="B59" s="4">
        <v>52</v>
      </c>
      <c r="C59" s="5">
        <v>0.008674980000000001</v>
      </c>
      <c r="D59" s="4" t="s">
        <v>118</v>
      </c>
    </row>
    <row r="60" spans="1:4">
      <c r="A60" s="4" t="s">
        <v>119</v>
      </c>
      <c r="B60" s="4">
        <v>53</v>
      </c>
      <c r="C60" s="5">
        <v>0.009321940000000001</v>
      </c>
      <c r="D60" s="4" t="s">
        <v>120</v>
      </c>
    </row>
    <row r="61" spans="1:4">
      <c r="A61" s="4" t="s">
        <v>121</v>
      </c>
      <c r="B61" s="4">
        <v>54</v>
      </c>
      <c r="C61" s="5">
        <v>0.01002298</v>
      </c>
      <c r="D61" s="4" t="s">
        <v>122</v>
      </c>
    </row>
    <row r="62" spans="1:4">
      <c r="A62" s="4" t="s">
        <v>123</v>
      </c>
      <c r="B62" s="4">
        <v>55</v>
      </c>
      <c r="C62" s="5">
        <v>0.01078199</v>
      </c>
      <c r="D62" s="4" t="s">
        <v>124</v>
      </c>
    </row>
    <row r="63" spans="1:4">
      <c r="A63" s="4" t="s">
        <v>125</v>
      </c>
      <c r="B63" s="4">
        <v>56</v>
      </c>
      <c r="C63" s="5">
        <v>0.01160312</v>
      </c>
      <c r="D63" s="4" t="s">
        <v>126</v>
      </c>
    </row>
    <row r="64" spans="1:4">
      <c r="A64" s="4" t="s">
        <v>127</v>
      </c>
      <c r="B64" s="4">
        <v>57</v>
      </c>
      <c r="C64" s="5">
        <v>0.01249091</v>
      </c>
      <c r="D64" s="4" t="s">
        <v>128</v>
      </c>
    </row>
    <row r="65" spans="1:4">
      <c r="A65" s="4" t="s">
        <v>129</v>
      </c>
      <c r="B65" s="4">
        <v>58</v>
      </c>
      <c r="C65" s="5">
        <v>0.01345024</v>
      </c>
      <c r="D65" s="4" t="s">
        <v>130</v>
      </c>
    </row>
    <row r="66" spans="1:4">
      <c r="A66" s="4" t="s">
        <v>131</v>
      </c>
      <c r="B66" s="4">
        <v>59</v>
      </c>
      <c r="C66" s="5">
        <v>0.01448637</v>
      </c>
      <c r="D66" s="4" t="s">
        <v>132</v>
      </c>
    </row>
    <row r="67" spans="1:4">
      <c r="A67" s="4" t="s">
        <v>133</v>
      </c>
      <c r="B67" s="4">
        <v>60</v>
      </c>
      <c r="C67" s="5">
        <v>0.015605</v>
      </c>
      <c r="D67" s="4" t="s">
        <v>134</v>
      </c>
    </row>
    <row r="68" spans="1:4">
      <c r="A68" s="4" t="s">
        <v>135</v>
      </c>
      <c r="B68" s="4">
        <v>61</v>
      </c>
      <c r="C68" s="5">
        <v>0.01681223</v>
      </c>
      <c r="D68" s="4" t="s">
        <v>136</v>
      </c>
    </row>
    <row r="69" spans="1:4">
      <c r="A69" s="4" t="s">
        <v>137</v>
      </c>
      <c r="B69" s="4">
        <v>62</v>
      </c>
      <c r="C69" s="5">
        <v>0.01811463</v>
      </c>
      <c r="D69" s="4" t="s">
        <v>138</v>
      </c>
    </row>
    <row r="70" spans="1:4">
      <c r="A70" s="4" t="s">
        <v>139</v>
      </c>
      <c r="B70" s="4">
        <v>63</v>
      </c>
      <c r="C70" s="5">
        <v>0.01951932</v>
      </c>
      <c r="D70" s="4" t="s">
        <v>140</v>
      </c>
    </row>
    <row r="71" spans="1:4">
      <c r="A71" s="4" t="s">
        <v>141</v>
      </c>
      <c r="B71" s="4">
        <v>64</v>
      </c>
      <c r="C71" s="5">
        <v>0.0210339</v>
      </c>
      <c r="D71" s="4" t="s">
        <v>142</v>
      </c>
    </row>
    <row r="72" spans="1:4">
      <c r="A72" s="4" t="s">
        <v>143</v>
      </c>
      <c r="B72" s="4">
        <v>65</v>
      </c>
      <c r="C72" s="5">
        <v>0.02266656</v>
      </c>
      <c r="D72" s="4" t="s">
        <v>144</v>
      </c>
    </row>
    <row r="73" spans="1:4">
      <c r="A73" s="4" t="s">
        <v>145</v>
      </c>
      <c r="B73" s="4">
        <v>66</v>
      </c>
      <c r="C73" s="5">
        <v>0.02442607</v>
      </c>
      <c r="D73" s="4" t="s">
        <v>146</v>
      </c>
    </row>
    <row r="74" spans="1:4">
      <c r="A74" s="4" t="s">
        <v>147</v>
      </c>
      <c r="B74" s="4">
        <v>67</v>
      </c>
      <c r="C74" s="5">
        <v>0.02632187</v>
      </c>
      <c r="D74" s="4" t="s">
        <v>148</v>
      </c>
    </row>
    <row r="75" spans="1:4">
      <c r="A75" s="4" t="s">
        <v>149</v>
      </c>
      <c r="B75" s="4">
        <v>68</v>
      </c>
      <c r="C75" s="5">
        <v>0.02836407</v>
      </c>
      <c r="D75" s="4" t="s">
        <v>150</v>
      </c>
    </row>
    <row r="76" spans="1:4">
      <c r="A76" s="4" t="s">
        <v>151</v>
      </c>
      <c r="B76" s="4">
        <v>69</v>
      </c>
      <c r="C76" s="5">
        <v>0.0305635</v>
      </c>
      <c r="D76" s="4" t="s">
        <v>152</v>
      </c>
    </row>
    <row r="77" spans="1:4">
      <c r="A77" s="4" t="s">
        <v>153</v>
      </c>
      <c r="B77" s="4">
        <v>70</v>
      </c>
      <c r="C77" s="5">
        <v>0.03293174</v>
      </c>
      <c r="D77" s="4" t="s">
        <v>154</v>
      </c>
    </row>
    <row r="78" spans="1:4">
      <c r="A78" s="4" t="s">
        <v>155</v>
      </c>
      <c r="B78" s="4">
        <v>71</v>
      </c>
      <c r="C78" s="5">
        <v>0.03548117</v>
      </c>
      <c r="D78" s="4" t="s">
        <v>156</v>
      </c>
    </row>
    <row r="79" spans="1:4">
      <c r="A79" s="4" t="s">
        <v>157</v>
      </c>
      <c r="B79" s="4">
        <v>72</v>
      </c>
      <c r="C79" s="5">
        <v>0.03822507</v>
      </c>
      <c r="D79" s="4" t="s">
        <v>158</v>
      </c>
    </row>
    <row r="80" spans="1:4">
      <c r="A80" s="4" t="s">
        <v>159</v>
      </c>
      <c r="B80" s="4">
        <v>73</v>
      </c>
      <c r="C80" s="5">
        <v>0.04117756</v>
      </c>
      <c r="D80" s="4" t="s">
        <v>160</v>
      </c>
    </row>
    <row r="81" spans="1:4">
      <c r="A81" s="4" t="s">
        <v>161</v>
      </c>
      <c r="B81" s="4">
        <v>74</v>
      </c>
      <c r="C81" s="5">
        <v>0.04435374</v>
      </c>
      <c r="D81" s="4" t="s">
        <v>162</v>
      </c>
    </row>
    <row r="82" spans="1:4">
      <c r="A82" s="4" t="s">
        <v>163</v>
      </c>
      <c r="B82" s="4">
        <v>75</v>
      </c>
      <c r="C82" s="5">
        <v>0.0477697</v>
      </c>
      <c r="D82" s="4" t="s">
        <v>164</v>
      </c>
    </row>
    <row r="83" spans="1:4">
      <c r="A83" s="4" t="s">
        <v>165</v>
      </c>
      <c r="B83" s="4">
        <v>76</v>
      </c>
      <c r="C83" s="5">
        <v>0.05144256</v>
      </c>
      <c r="D83" s="4" t="s">
        <v>166</v>
      </c>
    </row>
    <row r="84" spans="1:4">
      <c r="A84" s="4" t="s">
        <v>167</v>
      </c>
      <c r="B84" s="4">
        <v>77</v>
      </c>
      <c r="C84" s="5">
        <v>0.05539053</v>
      </c>
      <c r="D84" s="4" t="s">
        <v>168</v>
      </c>
    </row>
    <row r="85" spans="1:4">
      <c r="A85" s="4" t="s">
        <v>169</v>
      </c>
      <c r="B85" s="4">
        <v>78</v>
      </c>
      <c r="C85" s="5">
        <v>0.05963296</v>
      </c>
      <c r="D85" s="4" t="s">
        <v>170</v>
      </c>
    </row>
    <row r="86" spans="1:4">
      <c r="A86" s="4" t="s">
        <v>171</v>
      </c>
      <c r="B86" s="4">
        <v>79</v>
      </c>
      <c r="C86" s="5">
        <v>0.06419039</v>
      </c>
      <c r="D86" s="4" t="s">
        <v>172</v>
      </c>
    </row>
    <row r="87" spans="1:4">
      <c r="A87" s="4" t="s">
        <v>173</v>
      </c>
      <c r="B87" s="4">
        <v>80</v>
      </c>
      <c r="C87" s="5">
        <v>0.06908457</v>
      </c>
      <c r="D87" s="4" t="s">
        <v>174</v>
      </c>
    </row>
    <row r="88" spans="1:4">
      <c r="A88" s="4" t="s">
        <v>175</v>
      </c>
      <c r="B88" s="4">
        <v>81</v>
      </c>
      <c r="C88" s="5">
        <v>0.07433851</v>
      </c>
      <c r="D88" s="4" t="s">
        <v>176</v>
      </c>
    </row>
    <row r="89" spans="1:4">
      <c r="A89" s="4" t="s">
        <v>177</v>
      </c>
      <c r="B89" s="4">
        <v>82</v>
      </c>
      <c r="C89" s="5">
        <v>0.07997653</v>
      </c>
      <c r="D89" s="4" t="s">
        <v>178</v>
      </c>
    </row>
    <row r="90" spans="1:4">
      <c r="A90" s="4" t="s">
        <v>179</v>
      </c>
      <c r="B90" s="4">
        <v>83</v>
      </c>
      <c r="C90" s="5">
        <v>0.08602429</v>
      </c>
      <c r="D90" s="4" t="s">
        <v>180</v>
      </c>
    </row>
    <row r="91" spans="1:4">
      <c r="A91" s="4" t="s">
        <v>181</v>
      </c>
      <c r="B91" s="4">
        <v>84</v>
      </c>
      <c r="C91" s="5">
        <v>0.09250878999999999</v>
      </c>
      <c r="D91" s="4" t="s">
        <v>182</v>
      </c>
    </row>
    <row r="92" spans="1:4">
      <c r="A92" s="4" t="s">
        <v>183</v>
      </c>
      <c r="B92" s="4">
        <v>85</v>
      </c>
      <c r="C92" s="5">
        <v>0.09962132</v>
      </c>
      <c r="D92" s="4" t="s">
        <v>184</v>
      </c>
    </row>
    <row r="93" spans="1:4">
      <c r="A93" s="4" t="s">
        <v>185</v>
      </c>
      <c r="B93" s="4">
        <v>86</v>
      </c>
      <c r="C93" s="5">
        <v>0.10743086</v>
      </c>
      <c r="D93" s="4" t="s">
        <v>186</v>
      </c>
    </row>
    <row r="94" spans="1:4">
      <c r="A94" s="4" t="s">
        <v>187</v>
      </c>
      <c r="B94" s="4">
        <v>87</v>
      </c>
      <c r="C94" s="5">
        <v>0.11601475</v>
      </c>
      <c r="D94" s="4" t="s">
        <v>188</v>
      </c>
    </row>
    <row r="95" spans="1:4">
      <c r="A95" s="4" t="s">
        <v>189</v>
      </c>
      <c r="B95" s="4">
        <v>88</v>
      </c>
      <c r="C95" s="5">
        <v>0.12545986</v>
      </c>
      <c r="D95" s="4" t="s">
        <v>190</v>
      </c>
    </row>
    <row r="96" spans="1:4">
      <c r="A96" s="4" t="s">
        <v>191</v>
      </c>
      <c r="B96" s="4">
        <v>89</v>
      </c>
      <c r="C96" s="5">
        <v>0.13586382</v>
      </c>
      <c r="D96" s="4" t="s">
        <v>192</v>
      </c>
    </row>
    <row r="97" spans="1:4">
      <c r="A97" s="4" t="s">
        <v>193</v>
      </c>
      <c r="B97" s="4">
        <v>90</v>
      </c>
      <c r="C97" s="5">
        <v>0.14733647</v>
      </c>
      <c r="D97" s="4" t="s">
        <v>194</v>
      </c>
    </row>
    <row r="98" spans="1:4">
      <c r="A98" s="4" t="s">
        <v>195</v>
      </c>
      <c r="B98" s="4">
        <v>91</v>
      </c>
      <c r="C98" s="5">
        <v>0.16000155</v>
      </c>
      <c r="D98" s="4" t="s">
        <v>196</v>
      </c>
    </row>
    <row r="99" spans="1:4">
      <c r="A99" s="4" t="s">
        <v>197</v>
      </c>
      <c r="B99" s="4">
        <v>92</v>
      </c>
      <c r="C99" s="5">
        <v>0.1739985</v>
      </c>
      <c r="D99" s="4" t="s">
        <v>198</v>
      </c>
    </row>
    <row r="100" spans="1:4">
      <c r="A100" s="4" t="s">
        <v>199</v>
      </c>
      <c r="B100" s="4">
        <v>93</v>
      </c>
      <c r="C100" s="5">
        <v>0.18948474</v>
      </c>
      <c r="D100" s="4" t="s">
        <v>200</v>
      </c>
    </row>
    <row r="101" spans="1:4">
      <c r="A101" s="4" t="s">
        <v>201</v>
      </c>
      <c r="B101" s="4">
        <v>94</v>
      </c>
      <c r="C101" s="5">
        <v>0.20663812</v>
      </c>
      <c r="D101" s="4" t="s">
        <v>202</v>
      </c>
    </row>
    <row r="102" spans="1:4">
      <c r="A102" s="4" t="s">
        <v>203</v>
      </c>
      <c r="B102" s="4">
        <v>95</v>
      </c>
      <c r="C102" s="5">
        <v>0.22565973</v>
      </c>
      <c r="D102" s="4" t="s">
        <v>204</v>
      </c>
    </row>
    <row r="103" spans="1:4">
      <c r="A103" s="4" t="s">
        <v>205</v>
      </c>
      <c r="B103" s="4">
        <v>96</v>
      </c>
      <c r="C103" s="5">
        <v>0.24677724</v>
      </c>
      <c r="D103" s="4" t="s">
        <v>206</v>
      </c>
    </row>
    <row r="104" spans="1:4">
      <c r="A104" s="4" t="s">
        <v>207</v>
      </c>
      <c r="B104" s="4">
        <v>97</v>
      </c>
      <c r="C104" s="5">
        <v>0.27024868</v>
      </c>
      <c r="D104" s="4" t="s">
        <v>208</v>
      </c>
    </row>
    <row r="105" spans="1:4">
      <c r="A105" s="4" t="s">
        <v>209</v>
      </c>
      <c r="B105" s="4">
        <v>98</v>
      </c>
      <c r="C105" s="5">
        <v>0.29636676</v>
      </c>
      <c r="D105" s="4" t="s">
        <v>210</v>
      </c>
    </row>
    <row r="106" spans="1:4">
      <c r="A106" s="4" t="s">
        <v>211</v>
      </c>
      <c r="B106" s="4">
        <v>99</v>
      </c>
      <c r="C106" s="5">
        <v>0.3254639</v>
      </c>
      <c r="D106" s="4" t="s">
        <v>212</v>
      </c>
    </row>
    <row r="107" spans="1:4">
      <c r="A107" s="4" t="s">
        <v>213</v>
      </c>
      <c r="B107" s="4">
        <v>100</v>
      </c>
      <c r="C107" s="5">
        <v>0.35791804</v>
      </c>
      <c r="D107" s="4" t="s">
        <v>214</v>
      </c>
    </row>
    <row r="108" spans="1:4">
      <c r="A108" s="4" t="s">
        <v>215</v>
      </c>
      <c r="B108" s="4">
        <v>101</v>
      </c>
      <c r="C108" s="5">
        <v>0.39415932</v>
      </c>
      <c r="D108" s="4" t="s">
        <v>216</v>
      </c>
    </row>
    <row r="109" spans="1:4">
      <c r="A109" s="4" t="s">
        <v>217</v>
      </c>
      <c r="B109" s="4">
        <v>102</v>
      </c>
      <c r="C109" s="5">
        <v>0.43512096</v>
      </c>
      <c r="D109" s="4" t="s">
        <v>218</v>
      </c>
    </row>
    <row r="110" spans="1:4">
      <c r="A110" s="4" t="s">
        <v>219</v>
      </c>
      <c r="B110" s="4">
        <v>103</v>
      </c>
      <c r="C110" s="5">
        <v>0.48088951</v>
      </c>
      <c r="D110" s="4" t="s">
        <v>220</v>
      </c>
    </row>
    <row r="111" spans="1:4">
      <c r="A111" s="4" t="s">
        <v>221</v>
      </c>
      <c r="B111" s="4">
        <v>104</v>
      </c>
      <c r="C111" s="5">
        <v>0.53208076</v>
      </c>
      <c r="D111" s="4" t="s">
        <v>222</v>
      </c>
    </row>
    <row r="112" spans="1:4">
      <c r="A112" s="4" t="s">
        <v>223</v>
      </c>
      <c r="B112" s="4">
        <v>105</v>
      </c>
      <c r="C112" s="5">
        <v>0.58939522</v>
      </c>
      <c r="D112" s="4" t="s">
        <v>224</v>
      </c>
    </row>
    <row r="113" spans="1:4">
      <c r="A113" s="4" t="s">
        <v>225</v>
      </c>
      <c r="B113" s="4">
        <v>106</v>
      </c>
      <c r="C113" s="5">
        <v>0.65363059</v>
      </c>
      <c r="D113" s="4" t="s">
        <v>226</v>
      </c>
    </row>
    <row r="114" spans="1:4">
      <c r="A114" s="4" t="s">
        <v>227</v>
      </c>
      <c r="B114" s="4">
        <v>107</v>
      </c>
      <c r="C114" s="5">
        <v>0.72569593</v>
      </c>
      <c r="D114" s="4" t="s">
        <v>228</v>
      </c>
    </row>
    <row r="115" spans="1:4">
      <c r="A115" s="4" t="s">
        <v>229</v>
      </c>
      <c r="B115" s="4">
        <v>108</v>
      </c>
      <c r="C115" s="5">
        <v>0.8066283400000001</v>
      </c>
      <c r="D115" s="4" t="s">
        <v>230</v>
      </c>
    </row>
    <row r="116" spans="1:4">
      <c r="A116" s="4" t="s">
        <v>231</v>
      </c>
      <c r="B116" s="4">
        <v>109</v>
      </c>
      <c r="C116" s="5">
        <v>0.8976119</v>
      </c>
      <c r="D116" s="4" t="s">
        <v>232</v>
      </c>
    </row>
  </sheetData>
  <autoFilter ref="A6:D116"/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15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12.7109375" customWidth="1"/>
    <col min="2" max="4" width="14.7109375" customWidth="1"/>
    <col min="5" max="8" width="17.7109375" customWidth="1"/>
    <col min="9" max="9" width="14.7109375" customWidth="1"/>
    <col min="11" max="11" width="12.7109375" customWidth="1"/>
    <col min="12" max="12" width="42.7109375" customWidth="1"/>
  </cols>
  <sheetData>
    <row r="1" spans="1:12" ht="25" customHeight="1">
      <c r="A1" s="1" t="s">
        <v>233</v>
      </c>
      <c r="B1" s="1"/>
      <c r="C1" s="1"/>
      <c r="D1" s="1"/>
      <c r="E1" s="1"/>
      <c r="F1" s="1"/>
      <c r="G1" s="1"/>
      <c r="H1" s="1"/>
      <c r="I1" s="1"/>
    </row>
    <row r="2" spans="1:12">
      <c r="A2" s="2" t="s">
        <v>7</v>
      </c>
      <c r="B2" t="s">
        <v>8</v>
      </c>
    </row>
    <row r="3" spans="1:12">
      <c r="A3" s="2" t="s">
        <v>234</v>
      </c>
      <c r="B3" s="6" t="s">
        <v>235</v>
      </c>
      <c r="C3" s="6"/>
      <c r="D3" s="6"/>
      <c r="E3" s="6"/>
      <c r="F3" s="6"/>
      <c r="G3" s="6"/>
      <c r="H3" s="6"/>
      <c r="I3" s="6"/>
    </row>
    <row r="5" spans="1:12">
      <c r="A5" s="3" t="s">
        <v>9</v>
      </c>
      <c r="B5" s="3" t="s">
        <v>11</v>
      </c>
      <c r="C5" s="3" t="s">
        <v>236</v>
      </c>
      <c r="D5" s="3" t="s">
        <v>237</v>
      </c>
      <c r="E5" s="3" t="s">
        <v>238</v>
      </c>
      <c r="F5" s="3" t="s">
        <v>239</v>
      </c>
      <c r="G5" s="3" t="s">
        <v>240</v>
      </c>
      <c r="H5" s="3" t="s">
        <v>241</v>
      </c>
      <c r="I5" s="3" t="s">
        <v>242</v>
      </c>
      <c r="K5" s="3" t="s">
        <v>243</v>
      </c>
      <c r="L5" s="3" t="s">
        <v>244</v>
      </c>
    </row>
    <row r="6" spans="1:12">
      <c r="A6" s="4" t="s">
        <v>13</v>
      </c>
      <c r="B6" s="5">
        <f>Fuente_mx!C7</f>
        <v>0.02637338</v>
      </c>
      <c r="C6" s="5">
        <f>2*B6/(2+B6)</f>
        <v>0.026030128761363812</v>
      </c>
      <c r="D6" s="5">
        <f>1-C6</f>
        <v>0.9739698712386362</v>
      </c>
      <c r="E6" s="7">
        <f>100000</f>
        <v>100000.0</v>
      </c>
      <c r="F6" s="7">
        <f>E6*C6</f>
        <v>2603.0128761363812</v>
      </c>
      <c r="G6" s="7">
        <f>E6-0.5*F6</f>
        <v>98698.49356193181</v>
      </c>
      <c r="H6" s="7">
        <f>G6+H7</f>
        <v>7063362.512547304</v>
      </c>
      <c r="I6" s="8">
        <f>H6/E6</f>
        <v>70.63362512547305</v>
      </c>
      <c r="K6" s="9" t="s">
        <v>236</v>
      </c>
      <c r="L6" s="9" t="s">
        <v>245</v>
      </c>
    </row>
    <row r="7" spans="1:12">
      <c r="A7" s="4" t="s">
        <v>15</v>
      </c>
      <c r="B7" s="5">
        <f>Fuente_mx!C8</f>
        <v>0.00188616</v>
      </c>
      <c r="C7" s="5">
        <f>2*B7/(2+B7)</f>
        <v>0.001884382876197116</v>
      </c>
      <c r="D7" s="5">
        <f>1-C7</f>
        <v>0.9981156171238029</v>
      </c>
      <c r="E7" s="7">
        <f>E6-F6</f>
        <v>97396.98712386363</v>
      </c>
      <c r="F7" s="7">
        <f>E7*C7</f>
        <v>183.53321472939962</v>
      </c>
      <c r="G7" s="7">
        <f>E7-0.5*F7</f>
        <v>97305.22051649893</v>
      </c>
      <c r="H7" s="7">
        <f>G7+H8</f>
        <v>6964664.018985372</v>
      </c>
      <c r="I7" s="8">
        <f>H7/E7</f>
        <v>71.50800270780586</v>
      </c>
      <c r="K7" s="9" t="s">
        <v>237</v>
      </c>
      <c r="L7" s="9" t="s">
        <v>246</v>
      </c>
    </row>
    <row r="8" spans="1:12">
      <c r="A8" s="4" t="s">
        <v>17</v>
      </c>
      <c r="B8" s="5">
        <f>Fuente_mx!C9</f>
        <v>0.00096917</v>
      </c>
      <c r="C8" s="5">
        <f>2*B8/(2+B8)</f>
        <v>0.000968700582228361</v>
      </c>
      <c r="D8" s="5">
        <f>1-C8</f>
        <v>0.9990312994177717</v>
      </c>
      <c r="E8" s="7">
        <f>E7-F7</f>
        <v>97213.45390913423</v>
      </c>
      <c r="F8" s="7">
        <f>E8*C8</f>
        <v>94.17072940220827</v>
      </c>
      <c r="G8" s="7">
        <f>E8-0.5*F8</f>
        <v>97166.36854443312</v>
      </c>
      <c r="H8" s="7">
        <f>G8+H9</f>
        <v>6867358.798468873</v>
      </c>
      <c r="I8" s="8">
        <f>H8/E8</f>
        <v>70.64206159044424</v>
      </c>
      <c r="K8" s="9" t="s">
        <v>238</v>
      </c>
      <c r="L8" s="9" t="s">
        <v>247</v>
      </c>
    </row>
    <row r="9" spans="1:12">
      <c r="A9" s="4" t="s">
        <v>19</v>
      </c>
      <c r="B9" s="5">
        <f>Fuente_mx!C10</f>
        <v>0.00067282</v>
      </c>
      <c r="C9" s="5">
        <f>2*B9/(2+B9)</f>
        <v>0.0006725937327423681</v>
      </c>
      <c r="D9" s="5">
        <f>1-C9</f>
        <v>0.9993274062672576</v>
      </c>
      <c r="E9" s="7">
        <f>E8-F8</f>
        <v>97119.28317973203</v>
      </c>
      <c r="F9" s="7">
        <f>E9*C9</f>
        <v>65.32182119511904</v>
      </c>
      <c r="G9" s="7">
        <f>E9-0.5*F9</f>
        <v>97086.62226913446</v>
      </c>
      <c r="H9" s="7">
        <f>G9+H10</f>
        <v>6770192.42992444</v>
      </c>
      <c r="I9" s="8">
        <f>H9/E9</f>
        <v>69.7100741301324</v>
      </c>
      <c r="K9" s="9" t="s">
        <v>239</v>
      </c>
      <c r="L9" s="9" t="s">
        <v>248</v>
      </c>
    </row>
    <row r="10" spans="1:12">
      <c r="A10" s="4" t="s">
        <v>21</v>
      </c>
      <c r="B10" s="5">
        <f>Fuente_mx!C11</f>
        <v>0.00053941</v>
      </c>
      <c r="C10" s="5">
        <f>2*B10/(2+B10)</f>
        <v>0.0005392645576524784</v>
      </c>
      <c r="D10" s="5">
        <f>1-C10</f>
        <v>0.9994607354423475</v>
      </c>
      <c r="E10" s="7">
        <f>E9-F9</f>
        <v>97053.96135853691</v>
      </c>
      <c r="F10" s="7">
        <f>E10*C10</f>
        <v>52.33776154043213</v>
      </c>
      <c r="G10" s="7">
        <f>E10-0.5*F10</f>
        <v>97027.79247776669</v>
      </c>
      <c r="H10" s="7">
        <f>G10+H11</f>
        <v>6673105.807655306</v>
      </c>
      <c r="I10" s="8">
        <f>H10/E10</f>
        <v>68.7566557227222</v>
      </c>
      <c r="K10" s="9" t="s">
        <v>240</v>
      </c>
      <c r="L10" s="9" t="s">
        <v>249</v>
      </c>
    </row>
    <row r="11" spans="1:12">
      <c r="A11" s="4" t="s">
        <v>23</v>
      </c>
      <c r="B11" s="5">
        <f>Fuente_mx!C12</f>
        <v>0.00047145</v>
      </c>
      <c r="C11" s="5">
        <f>2*B11/(2+B11)</f>
        <v>0.00047133889363929686</v>
      </c>
      <c r="D11" s="5">
        <f>1-C11</f>
        <v>0.9995286611063607</v>
      </c>
      <c r="E11" s="7">
        <f>E10-F10</f>
        <v>97001.62359699648</v>
      </c>
      <c r="F11" s="7">
        <f>E11*C11</f>
        <v>45.72063794742383</v>
      </c>
      <c r="G11" s="7">
        <f>E11-0.5*F11</f>
        <v>96978.76327802276</v>
      </c>
      <c r="H11" s="7">
        <f>G11+H12</f>
        <v>6576078.015177539</v>
      </c>
      <c r="I11" s="8">
        <f>H11/E11</f>
        <v>67.79348397815022</v>
      </c>
      <c r="K11" s="9" t="s">
        <v>241</v>
      </c>
      <c r="L11" s="9" t="s">
        <v>250</v>
      </c>
    </row>
    <row r="12" spans="1:12">
      <c r="A12" s="4" t="s">
        <v>25</v>
      </c>
      <c r="B12" s="5">
        <f>Fuente_mx!C13</f>
        <v>0.00043629</v>
      </c>
      <c r="C12" s="5">
        <f>2*B12/(2+B12)</f>
        <v>0.0004361948462752592</v>
      </c>
      <c r="D12" s="5">
        <f>1-C12</f>
        <v>0.9995638051537248</v>
      </c>
      <c r="E12" s="7">
        <f>E11-F11</f>
        <v>96955.90295904905</v>
      </c>
      <c r="F12" s="7">
        <f>E12*C12</f>
        <v>42.29166518670135</v>
      </c>
      <c r="G12" s="7">
        <f>E12-0.5*F12</f>
        <v>96934.7571264557</v>
      </c>
      <c r="H12" s="7">
        <f>G12+H13</f>
        <v>6479099.251899516</v>
      </c>
      <c r="I12" s="8">
        <f>H12/E12</f>
        <v>66.82521697143156</v>
      </c>
      <c r="K12" s="9" t="s">
        <v>242</v>
      </c>
      <c r="L12" s="9" t="s">
        <v>251</v>
      </c>
    </row>
    <row r="13" spans="1:12">
      <c r="A13" s="4" t="s">
        <v>27</v>
      </c>
      <c r="B13" s="5">
        <f>Fuente_mx!C14</f>
        <v>0.00042028</v>
      </c>
      <c r="C13" s="5">
        <f>2*B13/(2+B13)</f>
        <v>0.00042019170091596946</v>
      </c>
      <c r="D13" s="5">
        <f>1-C13</f>
        <v>0.999579808299084</v>
      </c>
      <c r="E13" s="7">
        <f>E12-F12</f>
        <v>96913.61129386236</v>
      </c>
      <c r="F13" s="7">
        <f>E13*C13</f>
        <v>40.72229517147713</v>
      </c>
      <c r="G13" s="7">
        <f>E13-0.5*F13</f>
        <v>96893.25014627662</v>
      </c>
      <c r="H13" s="7">
        <f>G13+H14</f>
        <v>6382164.49477306</v>
      </c>
      <c r="I13" s="8">
        <f>H13/E13</f>
        <v>65.85416031418953</v>
      </c>
    </row>
    <row r="14" spans="1:12">
      <c r="A14" s="4" t="s">
        <v>29</v>
      </c>
      <c r="B14" s="5">
        <f>Fuente_mx!C15</f>
        <v>0.00041746</v>
      </c>
      <c r="C14" s="5">
        <f>2*B14/(2+B14)</f>
        <v>0.00041737288175839053</v>
      </c>
      <c r="D14" s="5">
        <f>1-C14</f>
        <v>0.9995826271182416</v>
      </c>
      <c r="E14" s="7">
        <f>E13-F13</f>
        <v>96872.88899869088</v>
      </c>
      <c r="F14" s="7">
        <f>E14*C14</f>
        <v>40.432116845644295</v>
      </c>
      <c r="G14" s="7">
        <f>E14-0.5*F14</f>
        <v>96852.67294026805</v>
      </c>
      <c r="H14" s="7">
        <f>G14+H15</f>
        <v>6285271.244626784</v>
      </c>
      <c r="I14" s="8">
        <f>H14/E14</f>
        <v>64.88163313382469</v>
      </c>
    </row>
    <row r="15" spans="1:12">
      <c r="A15" s="4" t="s">
        <v>31</v>
      </c>
      <c r="B15" s="5">
        <f>Fuente_mx!C16</f>
        <v>0.00042593</v>
      </c>
      <c r="C15" s="5">
        <f>2*B15/(2+B15)</f>
        <v>0.00042583931113110494</v>
      </c>
      <c r="D15" s="5">
        <f>1-C15</f>
        <v>0.9995741606888688</v>
      </c>
      <c r="E15" s="7">
        <f>E14-F14</f>
        <v>96832.45688184524</v>
      </c>
      <c r="F15" s="7">
        <f>E15*C15</f>
        <v>41.2350667336974</v>
      </c>
      <c r="G15" s="7">
        <f>E15-0.5*F15</f>
        <v>96811.83934847839</v>
      </c>
      <c r="H15" s="7">
        <f>G15+H16</f>
        <v>6188418.571686516</v>
      </c>
      <c r="I15" s="8">
        <f>H15/E15</f>
        <v>63.90851550154935</v>
      </c>
    </row>
    <row r="16" spans="1:12">
      <c r="A16" s="4" t="s">
        <v>33</v>
      </c>
      <c r="B16" s="5">
        <f>Fuente_mx!C17</f>
        <v>0.00044654</v>
      </c>
      <c r="C16" s="5">
        <f>2*B16/(2+B16)</f>
        <v>0.00044644032326902373</v>
      </c>
      <c r="D16" s="5">
        <f>1-C16</f>
        <v>0.999553559676731</v>
      </c>
      <c r="E16" s="7">
        <f>E15-F15</f>
        <v>96791.22181511154</v>
      </c>
      <c r="F16" s="7">
        <f>E16*C16</f>
        <v>43.211504356742175</v>
      </c>
      <c r="G16" s="7">
        <f>E16-0.5*F16</f>
        <v>96769.61606293317</v>
      </c>
      <c r="H16" s="7">
        <f>G16+H17</f>
        <v>6091606.732338037</v>
      </c>
      <c r="I16" s="8">
        <f>H16/E16</f>
        <v>62.93552884345329</v>
      </c>
    </row>
    <row r="17" spans="1:9">
      <c r="A17" s="4" t="s">
        <v>35</v>
      </c>
      <c r="B17" s="5">
        <f>Fuente_mx!C18</f>
        <v>0.00048185</v>
      </c>
      <c r="C17" s="5">
        <f>2*B17/(2+B17)</f>
        <v>0.0004817339382509269</v>
      </c>
      <c r="D17" s="5">
        <f>1-C17</f>
        <v>0.9995182660617491</v>
      </c>
      <c r="E17" s="7">
        <f>E16-F16</f>
        <v>96748.01031075479</v>
      </c>
      <c r="F17" s="7">
        <f>E17*C17</f>
        <v>46.60680002494119</v>
      </c>
      <c r="G17" s="7">
        <f>E17-0.5*F17</f>
        <v>96724.70691074232</v>
      </c>
      <c r="H17" s="7">
        <f>G17+H18</f>
        <v>5994837.116275104</v>
      </c>
      <c r="I17" s="8">
        <f>H17/E17</f>
        <v>61.96341503065206</v>
      </c>
    </row>
    <row r="18" spans="1:9">
      <c r="A18" s="4" t="s">
        <v>37</v>
      </c>
      <c r="B18" s="5">
        <f>Fuente_mx!C19</f>
        <v>0.00053507</v>
      </c>
      <c r="C18" s="5">
        <f>2*B18/(2+B18)</f>
        <v>0.0005349268883349293</v>
      </c>
      <c r="D18" s="5">
        <f>1-C18</f>
        <v>0.9994650731116651</v>
      </c>
      <c r="E18" s="7">
        <f>E17-F17</f>
        <v>96701.40351072986</v>
      </c>
      <c r="F18" s="7">
        <f>E18*C18</f>
        <v>51.72818087761513</v>
      </c>
      <c r="G18" s="7">
        <f>E18-0.5*F18</f>
        <v>96675.53942029105</v>
      </c>
      <c r="H18" s="7">
        <f>G18+H19</f>
        <v>5898112.409364361</v>
      </c>
      <c r="I18" s="8">
        <f>H18/E18</f>
        <v>60.99303831417416</v>
      </c>
    </row>
    <row r="19" spans="1:9">
      <c r="A19" s="4" t="s">
        <v>39</v>
      </c>
      <c r="B19" s="5">
        <f>Fuente_mx!C20</f>
        <v>0.00060902</v>
      </c>
      <c r="C19" s="5">
        <f>2*B19/(2+B19)</f>
        <v>0.0006088346037748045</v>
      </c>
      <c r="D19" s="5">
        <f>1-C19</f>
        <v>0.9993911653962252</v>
      </c>
      <c r="E19" s="7">
        <f>E18-F18</f>
        <v>96649.67532985224</v>
      </c>
      <c r="F19" s="7">
        <f>E19*C19</f>
        <v>58.84366678441408</v>
      </c>
      <c r="G19" s="7">
        <f>E19-0.5*F19</f>
        <v>96620.25349646003</v>
      </c>
      <c r="H19" s="7">
        <f>G19+H20</f>
        <v>5801436.8699440705</v>
      </c>
      <c r="I19" s="8">
        <f>H19/E19</f>
        <v>60.02541498607784</v>
      </c>
    </row>
    <row r="20" spans="1:9">
      <c r="A20" s="4" t="s">
        <v>41</v>
      </c>
      <c r="B20" s="5">
        <f>Fuente_mx!C21</f>
        <v>0.00070509</v>
      </c>
      <c r="C20" s="5">
        <f>2*B20/(2+B20)</f>
        <v>0.0007048415116492757</v>
      </c>
      <c r="D20" s="5">
        <f>1-C20</f>
        <v>0.9992951584883507</v>
      </c>
      <c r="E20" s="7">
        <f>E19-F19</f>
        <v>96590.83166306782</v>
      </c>
      <c r="F20" s="7">
        <f>E20*C20</f>
        <v>68.08122780085743</v>
      </c>
      <c r="G20" s="7">
        <f>E20-0.5*F20</f>
        <v>96556.79104916738</v>
      </c>
      <c r="H20" s="7">
        <f>G20+H21</f>
        <v>5704816.616447611</v>
      </c>
      <c r="I20" s="8">
        <f>H20/E20</f>
        <v>59.061678196822974</v>
      </c>
    </row>
    <row r="21" spans="1:9">
      <c r="A21" s="4" t="s">
        <v>43</v>
      </c>
      <c r="B21" s="5">
        <f>Fuente_mx!C22</f>
        <v>0.00082284</v>
      </c>
      <c r="C21" s="5">
        <f>2*B21/(2+B21)</f>
        <v>0.0008225016063890994</v>
      </c>
      <c r="D21" s="5">
        <f>1-C21</f>
        <v>0.9991774983936109</v>
      </c>
      <c r="E21" s="7">
        <f>E20-F20</f>
        <v>96522.75043526696</v>
      </c>
      <c r="F21" s="7">
        <f>E21*C21</f>
        <v>79.39011728610123</v>
      </c>
      <c r="G21" s="7">
        <f>E21-0.5*F21</f>
        <v>96483.05537662392</v>
      </c>
      <c r="H21" s="7">
        <f>G21+H22</f>
        <v>5608259.825398443</v>
      </c>
      <c r="I21" s="8">
        <f>H21/E21</f>
        <v>58.102984012661615</v>
      </c>
    </row>
    <row r="22" spans="1:9">
      <c r="A22" s="4" t="s">
        <v>45</v>
      </c>
      <c r="B22" s="5">
        <f>Fuente_mx!C23</f>
        <v>0.00095989</v>
      </c>
      <c r="C22" s="5">
        <f>2*B22/(2+B22)</f>
        <v>0.0009594295265958581</v>
      </c>
      <c r="D22" s="5">
        <f>1-C22</f>
        <v>0.9990405704734041</v>
      </c>
      <c r="E22" s="7">
        <f>E21-F21</f>
        <v>96443.36031798087</v>
      </c>
      <c r="F22" s="7">
        <f>E22*C22</f>
        <v>92.53060753319416</v>
      </c>
      <c r="G22" s="7">
        <f>E22-0.5*F22</f>
        <v>96397.09501421427</v>
      </c>
      <c r="H22" s="7">
        <f>G22+H23</f>
        <v>5511776.7700218195</v>
      </c>
      <c r="I22" s="8">
        <f>H22/E22</f>
        <v>57.150401560554144</v>
      </c>
    </row>
    <row r="23" spans="1:9">
      <c r="A23" s="4" t="s">
        <v>47</v>
      </c>
      <c r="B23" s="5">
        <f>Fuente_mx!C24</f>
        <v>0.00111228</v>
      </c>
      <c r="C23" s="5">
        <f>2*B23/(2+B23)</f>
        <v>0.0011116617604285553</v>
      </c>
      <c r="D23" s="5">
        <f>1-C23</f>
        <v>0.9988883382395715</v>
      </c>
      <c r="E23" s="7">
        <f>E22-F22</f>
        <v>96350.82971044768</v>
      </c>
      <c r="F23" s="7">
        <f>E23*C23</f>
        <v>107.10953297466821</v>
      </c>
      <c r="G23" s="7">
        <f>E23-0.5*F23</f>
        <v>96297.27494396035</v>
      </c>
      <c r="H23" s="7">
        <f>G23+H24</f>
        <v>5415379.675007605</v>
      </c>
      <c r="I23" s="8">
        <f>H23/E23</f>
        <v>56.20480582556307</v>
      </c>
    </row>
    <row r="24" spans="1:9">
      <c r="A24" s="4" t="s">
        <v>49</v>
      </c>
      <c r="B24" s="5">
        <f>Fuente_mx!C25</f>
        <v>0.00127502</v>
      </c>
      <c r="C24" s="5">
        <f>2*B24/(2+B24)</f>
        <v>0.0012742076798620112</v>
      </c>
      <c r="D24" s="5">
        <f>1-C24</f>
        <v>0.998725792320138</v>
      </c>
      <c r="E24" s="7">
        <f>E23-F23</f>
        <v>96243.72017747302</v>
      </c>
      <c r="F24" s="7">
        <f>E24*C24</f>
        <v>122.63448738862652</v>
      </c>
      <c r="G24" s="7">
        <f>E24-0.5*F24</f>
        <v>96182.4029337787</v>
      </c>
      <c r="H24" s="7">
        <f>G24+H25</f>
        <v>5319082.400063645</v>
      </c>
      <c r="I24" s="8">
        <f>H24/E24</f>
        <v>55.26679964422904</v>
      </c>
    </row>
    <row r="25" spans="1:9">
      <c r="A25" s="4" t="s">
        <v>51</v>
      </c>
      <c r="B25" s="5">
        <f>Fuente_mx!C26</f>
        <v>0.00144277</v>
      </c>
      <c r="C25" s="5">
        <f>2*B25/(2+B25)</f>
        <v>0.0014417299576345117</v>
      </c>
      <c r="D25" s="5">
        <f>1-C25</f>
        <v>0.9985582700423655</v>
      </c>
      <c r="E25" s="7">
        <f>E24-F24</f>
        <v>96121.0856900844</v>
      </c>
      <c r="F25" s="7">
        <f>E25*C25</f>
        <v>138.58064879974864</v>
      </c>
      <c r="G25" s="7">
        <f>E25-0.5*F25</f>
        <v>96051.79536568452</v>
      </c>
      <c r="H25" s="7">
        <f>G25+H26</f>
        <v>5222899.997129867</v>
      </c>
      <c r="I25" s="8">
        <f>H25/E25</f>
        <v>54.33667295404517</v>
      </c>
    </row>
    <row r="26" spans="1:9">
      <c r="A26" s="4" t="s">
        <v>53</v>
      </c>
      <c r="B26" s="5">
        <f>Fuente_mx!C27</f>
        <v>0.00161034</v>
      </c>
      <c r="C26" s="5">
        <f>2*B26/(2+B26)</f>
        <v>0.0016090444456836688</v>
      </c>
      <c r="D26" s="5">
        <f>1-C26</f>
        <v>0.9983909555543163</v>
      </c>
      <c r="E26" s="7">
        <f>E25-F25</f>
        <v>95982.50504128465</v>
      </c>
      <c r="F26" s="7">
        <f>E26*C26</f>
        <v>154.4401166194838</v>
      </c>
      <c r="G26" s="7">
        <f>E26-0.5*F26</f>
        <v>95905.2849829749</v>
      </c>
      <c r="H26" s="7">
        <f>G26+H27</f>
        <v>5126848.201764182</v>
      </c>
      <c r="I26" s="8">
        <f>H26/E26</f>
        <v>53.414402963946266</v>
      </c>
    </row>
    <row r="27" spans="1:9">
      <c r="A27" s="4" t="s">
        <v>55</v>
      </c>
      <c r="B27" s="5">
        <f>Fuente_mx!C28</f>
        <v>0.00177327</v>
      </c>
      <c r="C27" s="5">
        <f>2*B27/(2+B27)</f>
        <v>0.0017716991495245612</v>
      </c>
      <c r="D27" s="5">
        <f>1-C27</f>
        <v>0.9982283008504754</v>
      </c>
      <c r="E27" s="7">
        <f>E26-F26</f>
        <v>95828.06492466516</v>
      </c>
      <c r="F27" s="7">
        <f>E27*C27</f>
        <v>169.7785011276137</v>
      </c>
      <c r="G27" s="7">
        <f>E27-0.5*F27</f>
        <v>95743.17567410135</v>
      </c>
      <c r="H27" s="7">
        <f>G27+H28</f>
        <v>5030942.916781208</v>
      </c>
      <c r="I27" s="8">
        <f>H27/E27</f>
        <v>52.499681807581766</v>
      </c>
    </row>
    <row r="28" spans="1:9">
      <c r="A28" s="4" t="s">
        <v>57</v>
      </c>
      <c r="B28" s="5">
        <f>Fuente_mx!C29</f>
        <v>0.00192808</v>
      </c>
      <c r="C28" s="5">
        <f>2*B28/(2+B28)</f>
        <v>0.0019262230439367233</v>
      </c>
      <c r="D28" s="5">
        <f>1-C28</f>
        <v>0.9980737769560633</v>
      </c>
      <c r="E28" s="7">
        <f>E27-F27</f>
        <v>95658.28642353755</v>
      </c>
      <c r="F28" s="7">
        <f>E28*C28</f>
        <v>184.25919565251743</v>
      </c>
      <c r="G28" s="7">
        <f>E28-0.5*F28</f>
        <v>95566.15682571128</v>
      </c>
      <c r="H28" s="7">
        <f>G28+H29</f>
        <v>4935199.741107106</v>
      </c>
      <c r="I28" s="8">
        <f>H28/E28</f>
        <v>51.59197311204142</v>
      </c>
    </row>
    <row r="29" spans="1:9">
      <c r="A29" s="4" t="s">
        <v>59</v>
      </c>
      <c r="B29" s="5">
        <f>Fuente_mx!C30</f>
        <v>0.00207237</v>
      </c>
      <c r="C29" s="5">
        <f>2*B29/(2+B29)</f>
        <v>0.002070224864049245</v>
      </c>
      <c r="D29" s="5">
        <f>1-C29</f>
        <v>0.9979297751359507</v>
      </c>
      <c r="E29" s="7">
        <f>E28-F28</f>
        <v>95474.02722788503</v>
      </c>
      <c r="F29" s="7">
        <f>E29*C29</f>
        <v>197.65270503808222</v>
      </c>
      <c r="G29" s="7">
        <f>E29-0.5*F29</f>
        <v>95375.20087536599</v>
      </c>
      <c r="H29" s="7">
        <f>G29+H30</f>
        <v>4839633.584281395</v>
      </c>
      <c r="I29" s="8">
        <f>H29/E29</f>
        <v>50.69057758221271</v>
      </c>
    </row>
    <row r="30" spans="1:9">
      <c r="A30" s="4" t="s">
        <v>61</v>
      </c>
      <c r="B30" s="5">
        <f>Fuente_mx!C31</f>
        <v>0.00220494</v>
      </c>
      <c r="C30" s="5">
        <f>2*B30/(2+B30)</f>
        <v>0.0022025117968193604</v>
      </c>
      <c r="D30" s="5">
        <f>1-C30</f>
        <v>0.9977974882031806</v>
      </c>
      <c r="E30" s="7">
        <f>E29-F29</f>
        <v>95276.37452284695</v>
      </c>
      <c r="F30" s="7">
        <f>E30*C30</f>
        <v>209.84733884474997</v>
      </c>
      <c r="G30" s="7">
        <f>E30-0.5*F30</f>
        <v>95171.45085342457</v>
      </c>
      <c r="H30" s="7">
        <f>G30+H31</f>
        <v>4744258.383406029</v>
      </c>
      <c r="I30" s="8">
        <f>H30/E30</f>
        <v>49.794698918443544</v>
      </c>
    </row>
    <row r="31" spans="1:9">
      <c r="A31" s="4" t="s">
        <v>63</v>
      </c>
      <c r="B31" s="5">
        <f>Fuente_mx!C32</f>
        <v>0.0023256</v>
      </c>
      <c r="C31" s="5">
        <f>2*B31/(2+B31)</f>
        <v>0.0023228989331205677</v>
      </c>
      <c r="D31" s="5">
        <f>1-C31</f>
        <v>0.9976771010668795</v>
      </c>
      <c r="E31" s="7">
        <f>E30-F30</f>
        <v>95066.52718400219</v>
      </c>
      <c r="F31" s="7">
        <f>E31*C31</f>
        <v>220.82993457119613</v>
      </c>
      <c r="G31" s="7">
        <f>E31-0.5*F31</f>
        <v>94956.11221671659</v>
      </c>
      <c r="H31" s="7">
        <f>G31+H32</f>
        <v>4649086.932552605</v>
      </c>
      <c r="I31" s="8">
        <f>H31/E31</f>
        <v>48.90351073363868</v>
      </c>
    </row>
    <row r="32" spans="1:9">
      <c r="A32" s="4" t="s">
        <v>65</v>
      </c>
      <c r="B32" s="5">
        <f>Fuente_mx!C33</f>
        <v>0.0024351</v>
      </c>
      <c r="C32" s="5">
        <f>2*B32/(2+B32)</f>
        <v>0.002432138749465588</v>
      </c>
      <c r="D32" s="5">
        <f>1-C32</f>
        <v>0.9975678612505344</v>
      </c>
      <c r="E32" s="7">
        <f>E31-F31</f>
        <v>94845.69724943099</v>
      </c>
      <c r="F32" s="7">
        <f>E32*C32</f>
        <v>230.67789550042284</v>
      </c>
      <c r="G32" s="7">
        <f>E32-0.5*F32</f>
        <v>94730.35830168078</v>
      </c>
      <c r="H32" s="7">
        <f>G32+H33</f>
        <v>4554130.820335888</v>
      </c>
      <c r="I32" s="8">
        <f>H32/E32</f>
        <v>48.01620898372604</v>
      </c>
    </row>
    <row r="33" spans="1:9">
      <c r="A33" s="4" t="s">
        <v>67</v>
      </c>
      <c r="B33" s="5">
        <f>Fuente_mx!C34</f>
        <v>0.00253491</v>
      </c>
      <c r="C33" s="5">
        <f>2*B33/(2+B33)</f>
        <v>0.0025317011826775093</v>
      </c>
      <c r="D33" s="5">
        <f>1-C33</f>
        <v>0.9974682988173225</v>
      </c>
      <c r="E33" s="7">
        <f>E32-F32</f>
        <v>94615.01935393056</v>
      </c>
      <c r="F33" s="7">
        <f>E33*C33</f>
        <v>239.53695639740144</v>
      </c>
      <c r="G33" s="7">
        <f>E33-0.5*F33</f>
        <v>94495.25087573186</v>
      </c>
      <c r="H33" s="7">
        <f>G33+H34</f>
        <v>4459400.462034208</v>
      </c>
      <c r="I33" s="8">
        <f>H33/E33</f>
        <v>47.13205675467584</v>
      </c>
    </row>
    <row r="34" spans="1:9">
      <c r="A34" s="4" t="s">
        <v>69</v>
      </c>
      <c r="B34" s="5">
        <f>Fuente_mx!C35</f>
        <v>0.00262703</v>
      </c>
      <c r="C34" s="5">
        <f>2*B34/(2+B34)</f>
        <v>0.0026235838832156374</v>
      </c>
      <c r="D34" s="5">
        <f>1-C34</f>
        <v>0.9973764161167844</v>
      </c>
      <c r="E34" s="7">
        <f>E33-F33</f>
        <v>94375.48239753315</v>
      </c>
      <c r="F34" s="7">
        <f>E34*C34</f>
        <v>247.60199458886908</v>
      </c>
      <c r="G34" s="7">
        <f>E34-0.5*F34</f>
        <v>94251.68140023873</v>
      </c>
      <c r="H34" s="7">
        <f>G34+H35</f>
        <v>4364905.211158476</v>
      </c>
      <c r="I34" s="8">
        <f>H34/E34</f>
        <v>46.250414835204786</v>
      </c>
    </row>
    <row r="35" spans="1:9">
      <c r="A35" s="4" t="s">
        <v>71</v>
      </c>
      <c r="B35" s="5">
        <f>Fuente_mx!C36</f>
        <v>0.00271383</v>
      </c>
      <c r="C35" s="5">
        <f>2*B35/(2+B35)</f>
        <v>0.002710152553348074</v>
      </c>
      <c r="D35" s="5">
        <f>1-C35</f>
        <v>0.997289847446652</v>
      </c>
      <c r="E35" s="7">
        <f>E34-F34</f>
        <v>94127.88040294428</v>
      </c>
      <c r="F35" s="7">
        <f>E35*C35</f>
        <v>255.10091541528158</v>
      </c>
      <c r="G35" s="7">
        <f>E35-0.5*F35</f>
        <v>94000.32994523665</v>
      </c>
      <c r="H35" s="7">
        <f>G35+H36</f>
        <v>4270653.529758237</v>
      </c>
      <c r="I35" s="8">
        <f>H35/E35</f>
        <v>45.37076062348741</v>
      </c>
    </row>
    <row r="36" spans="1:9">
      <c r="A36" s="4" t="s">
        <v>73</v>
      </c>
      <c r="B36" s="5">
        <f>Fuente_mx!C37</f>
        <v>0.00279794</v>
      </c>
      <c r="C36" s="5">
        <f>2*B36/(2+B36)</f>
        <v>0.0027940312341243967</v>
      </c>
      <c r="D36" s="5">
        <f>1-C36</f>
        <v>0.9972059687658756</v>
      </c>
      <c r="E36" s="7">
        <f>E35-F35</f>
        <v>93872.779487529</v>
      </c>
      <c r="F36" s="7">
        <f>E36*C36</f>
        <v>262.283477922228</v>
      </c>
      <c r="G36" s="7">
        <f>E36-0.5*F36</f>
        <v>93741.63774856788</v>
      </c>
      <c r="H36" s="7">
        <f>G36+H37</f>
        <v>4176653.199813001</v>
      </c>
      <c r="I36" s="8">
        <f>H36/E36</f>
        <v>44.49269769803577</v>
      </c>
    </row>
    <row r="37" spans="1:9">
      <c r="A37" s="4" t="s">
        <v>75</v>
      </c>
      <c r="B37" s="5">
        <f>Fuente_mx!C38</f>
        <v>0.00288204</v>
      </c>
      <c r="C37" s="5">
        <f>2*B37/(2+B37)</f>
        <v>0.002877892898775008</v>
      </c>
      <c r="D37" s="5">
        <f>1-C37</f>
        <v>0.997122107101225</v>
      </c>
      <c r="E37" s="7">
        <f>E36-F36</f>
        <v>93610.49600960678</v>
      </c>
      <c r="F37" s="7">
        <f>E37*C37</f>
        <v>269.40098171685355</v>
      </c>
      <c r="G37" s="7">
        <f>E37-0.5*F37</f>
        <v>93475.79551874836</v>
      </c>
      <c r="H37" s="7">
        <f>G37+H38</f>
        <v>4082911.562064433</v>
      </c>
      <c r="I37" s="8">
        <f>H37/E37</f>
        <v>43.61595906558837</v>
      </c>
    </row>
    <row r="38" spans="1:9">
      <c r="A38" s="4" t="s">
        <v>77</v>
      </c>
      <c r="B38" s="5">
        <f>Fuente_mx!C39</f>
        <v>0.00296884</v>
      </c>
      <c r="C38" s="5">
        <f>2*B38/(2+B38)</f>
        <v>0.002964439526677809</v>
      </c>
      <c r="D38" s="5">
        <f>1-C38</f>
        <v>0.9970355604733222</v>
      </c>
      <c r="E38" s="7">
        <f>E37-F37</f>
        <v>93341.09502788993</v>
      </c>
      <c r="F38" s="7">
        <f>E38*C38</f>
        <v>276.70403156406644</v>
      </c>
      <c r="G38" s="7">
        <f>E38-0.5*F38</f>
        <v>93202.7430121079</v>
      </c>
      <c r="H38" s="7">
        <f>G38+H39</f>
        <v>3989435.7665456845</v>
      </c>
      <c r="I38" s="8">
        <f>H38/E38</f>
        <v>42.74040030657084</v>
      </c>
    </row>
    <row r="39" spans="1:9">
      <c r="A39" s="4" t="s">
        <v>79</v>
      </c>
      <c r="B39" s="5">
        <f>Fuente_mx!C40</f>
        <v>0.003061</v>
      </c>
      <c r="C39" s="5">
        <f>2*B39/(2+B39)</f>
        <v>0.0030563222987218057</v>
      </c>
      <c r="D39" s="5">
        <f>1-C39</f>
        <v>0.9969436777012782</v>
      </c>
      <c r="E39" s="7">
        <f>E38-F38</f>
        <v>93064.39099632586</v>
      </c>
      <c r="F39" s="7">
        <f>E39*C39</f>
        <v>284.4347734190356</v>
      </c>
      <c r="G39" s="7">
        <f>E39-0.5*F39</f>
        <v>92922.17360961635</v>
      </c>
      <c r="H39" s="7">
        <f>G39+H40</f>
        <v>3896233.0235335766</v>
      </c>
      <c r="I39" s="8">
        <f>H39/E39</f>
        <v>41.86599172703336</v>
      </c>
    </row>
    <row r="40" spans="1:9">
      <c r="A40" s="4" t="s">
        <v>81</v>
      </c>
      <c r="B40" s="5">
        <f>Fuente_mx!C41</f>
        <v>0.00316102</v>
      </c>
      <c r="C40" s="5">
        <f>2*B40/(2+B40)</f>
        <v>0.0031560318600848177</v>
      </c>
      <c r="D40" s="5">
        <f>1-C40</f>
        <v>0.9968439681399152</v>
      </c>
      <c r="E40" s="7">
        <f>E39-F39</f>
        <v>92779.95622290683</v>
      </c>
      <c r="F40" s="7">
        <f>E40*C40</f>
        <v>292.81649781676856</v>
      </c>
      <c r="G40" s="7">
        <f>E40-0.5*F40</f>
        <v>92633.54797399844</v>
      </c>
      <c r="H40" s="7">
        <f>G40+H41</f>
        <v>3803310.8499239604</v>
      </c>
      <c r="I40" s="8">
        <f>H40/E40</f>
        <v>40.99280711866671</v>
      </c>
    </row>
    <row r="41" spans="1:9">
      <c r="A41" s="4" t="s">
        <v>83</v>
      </c>
      <c r="B41" s="5">
        <f>Fuente_mx!C42</f>
        <v>0.00327133</v>
      </c>
      <c r="C41" s="5">
        <f>2*B41/(2+B41)</f>
        <v>0.0032659879378396533</v>
      </c>
      <c r="D41" s="5">
        <f>1-C41</f>
        <v>0.9967340120621604</v>
      </c>
      <c r="E41" s="7">
        <f>E40-F40</f>
        <v>92487.13972509005</v>
      </c>
      <c r="F41" s="7">
        <f>E41*C41</f>
        <v>302.0618827474347</v>
      </c>
      <c r="G41" s="7">
        <f>E41-0.5*F41</f>
        <v>92336.10878371634</v>
      </c>
      <c r="H41" s="7">
        <f>G41+H42</f>
        <v>3710677.301949962</v>
      </c>
      <c r="I41" s="8">
        <f>H41/E41</f>
        <v>40.12100831509793</v>
      </c>
    </row>
    <row r="42" spans="1:9">
      <c r="A42" s="4" t="s">
        <v>85</v>
      </c>
      <c r="B42" s="5">
        <f>Fuente_mx!C43</f>
        <v>0.00339419</v>
      </c>
      <c r="C42" s="5">
        <f>2*B42/(2+B42)</f>
        <v>0.0033884394962730726</v>
      </c>
      <c r="D42" s="5">
        <f>1-C42</f>
        <v>0.9966115605037269</v>
      </c>
      <c r="E42" s="7">
        <f>E41-F41</f>
        <v>92185.07784234262</v>
      </c>
      <c r="F42" s="7">
        <f>E42*C42</f>
        <v>312.3635587280014</v>
      </c>
      <c r="G42" s="7">
        <f>E42-0.5*F42</f>
        <v>92028.89606297862</v>
      </c>
      <c r="H42" s="7">
        <f>G42+H43</f>
        <v>3618341.1931662457</v>
      </c>
      <c r="I42" s="8">
        <f>H42/E42</f>
        <v>39.25083405965583</v>
      </c>
    </row>
    <row r="43" spans="1:9">
      <c r="A43" s="4" t="s">
        <v>87</v>
      </c>
      <c r="B43" s="5">
        <f>Fuente_mx!C44</f>
        <v>0.00353175</v>
      </c>
      <c r="C43" s="5">
        <f>2*B43/(2+B43)</f>
        <v>0.0035255243646625514</v>
      </c>
      <c r="D43" s="5">
        <f>1-C43</f>
        <v>0.9964744756353374</v>
      </c>
      <c r="E43" s="7">
        <f>E42-F42</f>
        <v>91872.71428361462</v>
      </c>
      <c r="F43" s="7">
        <f>E43*C43</f>
        <v>323.89949265456454</v>
      </c>
      <c r="G43" s="7">
        <f>E43-0.5*F43</f>
        <v>91710.76453728734</v>
      </c>
      <c r="H43" s="7">
        <f>G43+H44</f>
        <v>3526312.297103267</v>
      </c>
      <c r="I43" s="8">
        <f>H43/E43</f>
        <v>38.38258534756473</v>
      </c>
    </row>
    <row r="44" spans="1:9">
      <c r="A44" s="4" t="s">
        <v>89</v>
      </c>
      <c r="B44" s="5">
        <f>Fuente_mx!C45</f>
        <v>0.00368602</v>
      </c>
      <c r="C44" s="5">
        <f>2*B44/(2+B44)</f>
        <v>0.0036792391254993136</v>
      </c>
      <c r="D44" s="5">
        <f>1-C44</f>
        <v>0.9963207608745007</v>
      </c>
      <c r="E44" s="7">
        <f>E43-F43</f>
        <v>91548.81479096005</v>
      </c>
      <c r="F44" s="7">
        <f>E44*C44</f>
        <v>336.8299812719905</v>
      </c>
      <c r="G44" s="7">
        <f>E44-0.5*F44</f>
        <v>91380.39980032406</v>
      </c>
      <c r="H44" s="7">
        <f>G44+H45</f>
        <v>3434601.5325659798</v>
      </c>
      <c r="I44" s="8">
        <f>H44/E44</f>
        <v>37.51661384594056</v>
      </c>
    </row>
    <row r="45" spans="1:9">
      <c r="A45" s="4" t="s">
        <v>91</v>
      </c>
      <c r="B45" s="5">
        <f>Fuente_mx!C46</f>
        <v>0.00385892</v>
      </c>
      <c r="C45" s="5">
        <f>2*B45/(2+B45)</f>
        <v>0.0038514887066001635</v>
      </c>
      <c r="D45" s="5">
        <f>1-C45</f>
        <v>0.9961485112933999</v>
      </c>
      <c r="E45" s="7">
        <f>E44-F44</f>
        <v>91211.98480968806</v>
      </c>
      <c r="F45" s="7">
        <f>E45*C45</f>
        <v>351.30192940109924</v>
      </c>
      <c r="G45" s="7">
        <f>E45-0.5*F45</f>
        <v>91036.33384498752</v>
      </c>
      <c r="H45" s="7">
        <f>G45+H46</f>
        <v>3343221.132765656</v>
      </c>
      <c r="I45" s="8">
        <f>H45/E45</f>
        <v>36.653309756839725</v>
      </c>
    </row>
    <row r="46" spans="1:9">
      <c r="A46" s="4" t="s">
        <v>93</v>
      </c>
      <c r="B46" s="5">
        <f>Fuente_mx!C47</f>
        <v>0.00405233</v>
      </c>
      <c r="C46" s="5">
        <f>2*B46/(2+B46)</f>
        <v>0.004044135913357113</v>
      </c>
      <c r="D46" s="5">
        <f>1-C46</f>
        <v>0.9959558640866429</v>
      </c>
      <c r="E46" s="7">
        <f>E45-F45</f>
        <v>90860.68288028696</v>
      </c>
      <c r="F46" s="7">
        <f>E46*C46</f>
        <v>367.4529507483203</v>
      </c>
      <c r="G46" s="7">
        <f>E46-0.5*F46</f>
        <v>90676.9564049128</v>
      </c>
      <c r="H46" s="7">
        <f>G46+H47</f>
        <v>3252184.798920668</v>
      </c>
      <c r="I46" s="8">
        <f>H46/E46</f>
        <v>35.793092191543046</v>
      </c>
    </row>
    <row r="47" spans="1:9">
      <c r="A47" s="4" t="s">
        <v>95</v>
      </c>
      <c r="B47" s="5">
        <f>Fuente_mx!C48</f>
        <v>0.00426807</v>
      </c>
      <c r="C47" s="5">
        <f>2*B47/(2+B47)</f>
        <v>0.004258981185086683</v>
      </c>
      <c r="D47" s="5">
        <f>1-C47</f>
        <v>0.9957410188149133</v>
      </c>
      <c r="E47" s="7">
        <f>E46-F46</f>
        <v>90493.22992953865</v>
      </c>
      <c r="F47" s="7">
        <f>E47*C47</f>
        <v>385.40896364762824</v>
      </c>
      <c r="G47" s="7">
        <f>E47-0.5*F47</f>
        <v>90300.52544771483</v>
      </c>
      <c r="H47" s="7">
        <f>G47+H48</f>
        <v>3161507.8425157554</v>
      </c>
      <c r="I47" s="8">
        <f>H47/E47</f>
        <v>34.9364018167704</v>
      </c>
    </row>
    <row r="48" spans="1:9">
      <c r="A48" s="4" t="s">
        <v>97</v>
      </c>
      <c r="B48" s="5">
        <f>Fuente_mx!C49</f>
        <v>0.00450793</v>
      </c>
      <c r="C48" s="5">
        <f>2*B48/(2+B48)</f>
        <v>0.0044977921339527955</v>
      </c>
      <c r="D48" s="5">
        <f>1-C48</f>
        <v>0.9955022078660472</v>
      </c>
      <c r="E48" s="7">
        <f>E47-F47</f>
        <v>90107.82096589102</v>
      </c>
      <c r="F48" s="7">
        <f>E48*C48</f>
        <v>405.28624834801144</v>
      </c>
      <c r="G48" s="7">
        <f>E48-0.5*F48</f>
        <v>89905.17784171701</v>
      </c>
      <c r="H48" s="7">
        <f>G48+H49</f>
        <v>3071207.317068041</v>
      </c>
      <c r="I48" s="8">
        <f>H48/E48</f>
        <v>34.083693115058246</v>
      </c>
    </row>
    <row r="49" spans="1:9">
      <c r="A49" s="4" t="s">
        <v>99</v>
      </c>
      <c r="B49" s="5">
        <f>Fuente_mx!C50</f>
        <v>0.00477374</v>
      </c>
      <c r="C49" s="5">
        <f>2*B49/(2+B49)</f>
        <v>0.004762372835150963</v>
      </c>
      <c r="D49" s="5">
        <f>1-C49</f>
        <v>0.9952376271648491</v>
      </c>
      <c r="E49" s="7">
        <f>E48-F48</f>
        <v>89702.534717543</v>
      </c>
      <c r="F49" s="7">
        <f>E49*C49</f>
        <v>427.196914583013</v>
      </c>
      <c r="G49" s="7">
        <f>E49-0.5*F49</f>
        <v>89488.9362602515</v>
      </c>
      <c r="H49" s="7">
        <f>G49+H50</f>
        <v>2981302.139226324</v>
      </c>
      <c r="I49" s="8">
        <f>H49/E49</f>
        <v>33.235428058013106</v>
      </c>
    </row>
    <row r="50" spans="1:9">
      <c r="A50" s="4" t="s">
        <v>101</v>
      </c>
      <c r="B50" s="5">
        <f>Fuente_mx!C51</f>
        <v>0.00506736</v>
      </c>
      <c r="C50" s="5">
        <f>2*B50/(2+B50)</f>
        <v>0.005054553379194204</v>
      </c>
      <c r="D50" s="5">
        <f>1-C50</f>
        <v>0.9949454466208058</v>
      </c>
      <c r="E50" s="7">
        <f>E49-F49</f>
        <v>89275.33780296</v>
      </c>
      <c r="F50" s="7">
        <f>E50*C50</f>
        <v>451.2469603706555</v>
      </c>
      <c r="G50" s="7">
        <f>E50-0.5*F50</f>
        <v>89049.71432277467</v>
      </c>
      <c r="H50" s="7">
        <f>G50+H51</f>
        <v>2891813.2029660726</v>
      </c>
      <c r="I50" s="8">
        <f>H50/E50</f>
        <v>32.39207236995963</v>
      </c>
    </row>
    <row r="51" spans="1:9">
      <c r="A51" s="4" t="s">
        <v>103</v>
      </c>
      <c r="B51" s="5">
        <f>Fuente_mx!C52</f>
        <v>0.00539072</v>
      </c>
      <c r="C51" s="5">
        <f>2*B51/(2+B51)</f>
        <v>0.005376229127060088</v>
      </c>
      <c r="D51" s="5">
        <f>1-C51</f>
        <v>0.99462377087294</v>
      </c>
      <c r="E51" s="7">
        <f>E50-F50</f>
        <v>88824.09084258934</v>
      </c>
      <c r="F51" s="7">
        <f>E51*C51</f>
        <v>477.53866437256005</v>
      </c>
      <c r="G51" s="7">
        <f>E51-0.5*F51</f>
        <v>88585.32151040307</v>
      </c>
      <c r="H51" s="7">
        <f>G51+H52</f>
        <v>2802763.488643298</v>
      </c>
      <c r="I51" s="8">
        <f>H51/E51</f>
        <v>31.554091486399205</v>
      </c>
    </row>
    <row r="52" spans="1:9">
      <c r="A52" s="4" t="s">
        <v>105</v>
      </c>
      <c r="B52" s="5">
        <f>Fuente_mx!C53</f>
        <v>0.00574587</v>
      </c>
      <c r="C52" s="5">
        <f>2*B52/(2+B52)</f>
        <v>0.005729409778119099</v>
      </c>
      <c r="D52" s="5">
        <f>1-C52</f>
        <v>0.9942705902218809</v>
      </c>
      <c r="E52" s="7">
        <f>E51-F51</f>
        <v>88346.55217821679</v>
      </c>
      <c r="F52" s="7">
        <f>E52*C52</f>
        <v>506.17359991298446</v>
      </c>
      <c r="G52" s="7">
        <f>E52-0.5*F52</f>
        <v>88093.4653782603</v>
      </c>
      <c r="H52" s="7">
        <f>G52+H53</f>
        <v>2714178.167132895</v>
      </c>
      <c r="I52" s="8">
        <f>H52/E52</f>
        <v>30.72194783173573</v>
      </c>
    </row>
    <row r="53" spans="1:9">
      <c r="A53" s="4" t="s">
        <v>107</v>
      </c>
      <c r="B53" s="5">
        <f>Fuente_mx!C54</f>
        <v>0.00613491</v>
      </c>
      <c r="C53" s="5">
        <f>2*B53/(2+B53)</f>
        <v>0.006116148988205385</v>
      </c>
      <c r="D53" s="5">
        <f>1-C53</f>
        <v>0.9938838510117947</v>
      </c>
      <c r="E53" s="7">
        <f>E52-F52</f>
        <v>87840.3785783038</v>
      </c>
      <c r="F53" s="7">
        <f>E53*C53</f>
        <v>537.2448425652708</v>
      </c>
      <c r="G53" s="7">
        <f>E53-0.5*F53</f>
        <v>87571.75615702117</v>
      </c>
      <c r="H53" s="7">
        <f>G53+H54</f>
        <v>2626084.7017546347</v>
      </c>
      <c r="I53" s="8">
        <f>H53/E53</f>
        <v>29.896099541666437</v>
      </c>
    </row>
    <row r="54" spans="1:9">
      <c r="A54" s="4" t="s">
        <v>109</v>
      </c>
      <c r="B54" s="5">
        <f>Fuente_mx!C55</f>
        <v>0.00656016</v>
      </c>
      <c r="C54" s="5">
        <f>2*B54/(2+B54)</f>
        <v>0.006538712499903318</v>
      </c>
      <c r="D54" s="5">
        <f>1-C54</f>
        <v>0.9934612875000967</v>
      </c>
      <c r="E54" s="7">
        <f>E53-F53</f>
        <v>87303.13373573853</v>
      </c>
      <c r="F54" s="7">
        <f>E54*C54</f>
        <v>570.8500918386046</v>
      </c>
      <c r="G54" s="7">
        <f>E54-0.5*F54</f>
        <v>87017.70868981924</v>
      </c>
      <c r="H54" s="7">
        <f>G54+H55</f>
        <v>2538512.9455976137</v>
      </c>
      <c r="I54" s="8">
        <f>H54/E54</f>
        <v>29.076996861092564</v>
      </c>
    </row>
    <row r="55" spans="1:9">
      <c r="A55" s="4" t="s">
        <v>111</v>
      </c>
      <c r="B55" s="5">
        <f>Fuente_mx!C56</f>
        <v>0.00702405</v>
      </c>
      <c r="C55" s="5">
        <f>2*B55/(2+B55)</f>
        <v>0.006999467694470328</v>
      </c>
      <c r="D55" s="5">
        <f>1-C55</f>
        <v>0.9930005323055296</v>
      </c>
      <c r="E55" s="7">
        <f>E54-F54</f>
        <v>86732.28364389992</v>
      </c>
      <c r="F55" s="7">
        <f>E55*C55</f>
        <v>607.0798174331147</v>
      </c>
      <c r="G55" s="7">
        <f>E55-0.5*F55</f>
        <v>86428.74373518337</v>
      </c>
      <c r="H55" s="7">
        <f>G55+H56</f>
        <v>2451495.2369077946</v>
      </c>
      <c r="I55" s="8">
        <f>H55/E55</f>
        <v>28.265083471951378</v>
      </c>
    </row>
    <row r="56" spans="1:9">
      <c r="A56" s="4" t="s">
        <v>113</v>
      </c>
      <c r="B56" s="5">
        <f>Fuente_mx!C57</f>
        <v>0.00752922</v>
      </c>
      <c r="C56" s="5">
        <f>2*B56/(2+B56)</f>
        <v>0.0075009817291725395</v>
      </c>
      <c r="D56" s="5">
        <f>1-C56</f>
        <v>0.9924990182708274</v>
      </c>
      <c r="E56" s="7">
        <f>E55-F55</f>
        <v>86125.20382646681</v>
      </c>
      <c r="F56" s="7">
        <f>E56*C56</f>
        <v>646.0235803235884</v>
      </c>
      <c r="G56" s="7">
        <f>E56-0.5*F56</f>
        <v>85802.19203630502</v>
      </c>
      <c r="H56" s="7">
        <f>G56+H57</f>
        <v>2365066.493172611</v>
      </c>
      <c r="I56" s="8">
        <f>H56/E56</f>
        <v>27.46079414729712</v>
      </c>
    </row>
    <row r="57" spans="1:9">
      <c r="A57" s="4" t="s">
        <v>115</v>
      </c>
      <c r="B57" s="5">
        <f>Fuente_mx!C58</f>
        <v>0.0080785</v>
      </c>
      <c r="C57" s="5">
        <f>2*B57/(2+B57)</f>
        <v>0.008046000193717527</v>
      </c>
      <c r="D57" s="5">
        <f>1-C57</f>
        <v>0.9919539998062825</v>
      </c>
      <c r="E57" s="7">
        <f>E56-F56</f>
        <v>85479.18024614322</v>
      </c>
      <c r="F57" s="7">
        <f>E57*C57</f>
        <v>687.7655008192838</v>
      </c>
      <c r="G57" s="7">
        <f>E57-0.5*F57</f>
        <v>85135.29749573358</v>
      </c>
      <c r="H57" s="7">
        <f>G57+H58</f>
        <v>2279264.301136306</v>
      </c>
      <c r="I57" s="8">
        <f>H57/E57</f>
        <v>26.6645549778672</v>
      </c>
    </row>
    <row r="58" spans="1:9">
      <c r="A58" s="4" t="s">
        <v>117</v>
      </c>
      <c r="B58" s="5">
        <f>Fuente_mx!C59</f>
        <v>0.00867498</v>
      </c>
      <c r="C58" s="5">
        <f>2*B58/(2+B58)</f>
        <v>0.008637514865645412</v>
      </c>
      <c r="D58" s="5">
        <f>1-C58</f>
        <v>0.9913624851343545</v>
      </c>
      <c r="E58" s="7">
        <f>E57-F57</f>
        <v>84791.41474532394</v>
      </c>
      <c r="F58" s="7">
        <f>E58*C58</f>
        <v>732.3871053418411</v>
      </c>
      <c r="G58" s="7">
        <f>E58-0.5*F58</f>
        <v>84425.22119265301</v>
      </c>
      <c r="H58" s="7">
        <f>G58+H59</f>
        <v>2194129.0036405725</v>
      </c>
      <c r="I58" s="8">
        <f>H58/E58</f>
        <v>25.876782575579963</v>
      </c>
    </row>
    <row r="59" spans="1:9">
      <c r="A59" s="4" t="s">
        <v>119</v>
      </c>
      <c r="B59" s="5">
        <f>Fuente_mx!C60</f>
        <v>0.00932194</v>
      </c>
      <c r="C59" s="5">
        <f>2*B59/(2+B59)</f>
        <v>0.00927869229358039</v>
      </c>
      <c r="D59" s="5">
        <f>1-C59</f>
        <v>0.9907213077064196</v>
      </c>
      <c r="E59" s="7">
        <f>E58-F58</f>
        <v>84059.0276399821</v>
      </c>
      <c r="F59" s="7">
        <f>E59*C59</f>
        <v>779.957851968963</v>
      </c>
      <c r="G59" s="7">
        <f>E59-0.5*F59</f>
        <v>83669.04871399762</v>
      </c>
      <c r="H59" s="7">
        <f>G59+H60</f>
        <v>2109703.7824479197</v>
      </c>
      <c r="I59" s="8">
        <f>H59/E59</f>
        <v>25.09788468507639</v>
      </c>
    </row>
    <row r="60" spans="1:9">
      <c r="A60" s="4" t="s">
        <v>121</v>
      </c>
      <c r="B60" s="5">
        <f>Fuente_mx!C61</f>
        <v>0.01002298</v>
      </c>
      <c r="C60" s="5">
        <f>2*B60/(2+B60)</f>
        <v>0.009973000408184388</v>
      </c>
      <c r="D60" s="5">
        <f>1-C60</f>
        <v>0.9900269995918156</v>
      </c>
      <c r="E60" s="7">
        <f>E59-F59</f>
        <v>83279.06978801313</v>
      </c>
      <c r="F60" s="7">
        <f>E60*C60</f>
        <v>830.5421969890712</v>
      </c>
      <c r="G60" s="7">
        <f>E60-0.5*F60</f>
        <v>82863.7986895186</v>
      </c>
      <c r="H60" s="7">
        <f>G60+H61</f>
        <v>2026034.7337339222</v>
      </c>
      <c r="I60" s="8">
        <f>H60/E60</f>
        <v>24.328258455470188</v>
      </c>
    </row>
    <row r="61" spans="1:9">
      <c r="A61" s="4" t="s">
        <v>123</v>
      </c>
      <c r="B61" s="5">
        <f>Fuente_mx!C62</f>
        <v>0.01078199</v>
      </c>
      <c r="C61" s="5">
        <f>2*B61/(2+B61)</f>
        <v>0.010724176020693322</v>
      </c>
      <c r="D61" s="5">
        <f>1-C61</f>
        <v>0.9892758239793067</v>
      </c>
      <c r="E61" s="7">
        <f>E60-F60</f>
        <v>82448.52759102406</v>
      </c>
      <c r="F61" s="7">
        <f>E61*C61</f>
        <v>884.192522533132</v>
      </c>
      <c r="G61" s="7">
        <f>E61-0.5*F61</f>
        <v>82006.4313297575</v>
      </c>
      <c r="H61" s="7">
        <f>G61+H62</f>
        <v>1943170.9350444037</v>
      </c>
      <c r="I61" s="8">
        <f>H61/E61</f>
        <v>23.568291536790902</v>
      </c>
    </row>
    <row r="62" spans="1:9">
      <c r="A62" s="4" t="s">
        <v>125</v>
      </c>
      <c r="B62" s="5">
        <f>Fuente_mx!C63</f>
        <v>0.01160312</v>
      </c>
      <c r="C62" s="5">
        <f>2*B62/(2+B62)</f>
        <v>0.011536192089421693</v>
      </c>
      <c r="D62" s="5">
        <f>1-C62</f>
        <v>0.9884638079105783</v>
      </c>
      <c r="E62" s="7">
        <f>E61-F61</f>
        <v>81564.33506849092</v>
      </c>
      <c r="F62" s="7">
        <f>E62*C62</f>
        <v>940.9418369960654</v>
      </c>
      <c r="G62" s="7">
        <f>E62-0.5*F62</f>
        <v>81093.86414999289</v>
      </c>
      <c r="H62" s="7">
        <f>G62+H63</f>
        <v>1861164.5037146462</v>
      </c>
      <c r="I62" s="8">
        <f>H62/E62</f>
        <v>22.81836175274151</v>
      </c>
    </row>
    <row r="63" spans="1:9">
      <c r="A63" s="4" t="s">
        <v>127</v>
      </c>
      <c r="B63" s="5">
        <f>Fuente_mx!C64</f>
        <v>0.01249091</v>
      </c>
      <c r="C63" s="5">
        <f>2*B63/(2+B63)</f>
        <v>0.01241338277647177</v>
      </c>
      <c r="D63" s="5">
        <f>1-C63</f>
        <v>0.9875866172235283</v>
      </c>
      <c r="E63" s="7">
        <f>E62-F62</f>
        <v>80623.39323149486</v>
      </c>
      <c r="F63" s="7">
        <f>E63*C63</f>
        <v>1000.8090409205489</v>
      </c>
      <c r="G63" s="7">
        <f>E63-0.5*F63</f>
        <v>80122.98871103459</v>
      </c>
      <c r="H63" s="7">
        <f>G63+H64</f>
        <v>1780070.6395646534</v>
      </c>
      <c r="I63" s="8">
        <f>H63/E63</f>
        <v>22.078835536647738</v>
      </c>
    </row>
    <row r="64" spans="1:9">
      <c r="A64" s="4" t="s">
        <v>129</v>
      </c>
      <c r="B64" s="5">
        <f>Fuente_mx!C65</f>
        <v>0.01345024</v>
      </c>
      <c r="C64" s="5">
        <f>2*B64/(2+B64)</f>
        <v>0.013360389775512902</v>
      </c>
      <c r="D64" s="5">
        <f>1-C64</f>
        <v>0.9866396102244871</v>
      </c>
      <c r="E64" s="7">
        <f>E63-F63</f>
        <v>79622.58419057431</v>
      </c>
      <c r="F64" s="7">
        <f>E64*C64</f>
        <v>1063.7887597196643</v>
      </c>
      <c r="G64" s="7">
        <f>E64-0.5*F64</f>
        <v>79090.68981071448</v>
      </c>
      <c r="H64" s="7">
        <f>G64+H65</f>
        <v>1699947.6508536187</v>
      </c>
      <c r="I64" s="8">
        <f>H64/E64</f>
        <v>21.350068804409112</v>
      </c>
    </row>
    <row r="65" spans="1:9">
      <c r="A65" s="4" t="s">
        <v>131</v>
      </c>
      <c r="B65" s="5">
        <f>Fuente_mx!C66</f>
        <v>0.01448637</v>
      </c>
      <c r="C65" s="5">
        <f>2*B65/(2+B65)</f>
        <v>0.01438219708580108</v>
      </c>
      <c r="D65" s="5">
        <f>1-C65</f>
        <v>0.9856178029141989</v>
      </c>
      <c r="E65" s="7">
        <f>E64-F64</f>
        <v>78558.79543085465</v>
      </c>
      <c r="F65" s="7">
        <f>E65*C65</f>
        <v>1129.848078709681</v>
      </c>
      <c r="G65" s="7">
        <f>E65-0.5*F65</f>
        <v>77993.87139149981</v>
      </c>
      <c r="H65" s="7">
        <f>G65+H66</f>
        <v>1620856.9610429043</v>
      </c>
      <c r="I65" s="8">
        <f>H65/E65</f>
        <v>20.632405985266658</v>
      </c>
    </row>
    <row r="66" spans="1:9">
      <c r="A66" s="4" t="s">
        <v>133</v>
      </c>
      <c r="B66" s="5">
        <f>Fuente_mx!C67</f>
        <v>0.015605</v>
      </c>
      <c r="C66" s="5">
        <f>2*B66/(2+B66)</f>
        <v>0.01548418464927404</v>
      </c>
      <c r="D66" s="5">
        <f>1-C66</f>
        <v>0.984515815350726</v>
      </c>
      <c r="E66" s="7">
        <f>E65-F65</f>
        <v>77428.94735214497</v>
      </c>
      <c r="F66" s="7">
        <f>E66*C66</f>
        <v>1198.924117999531</v>
      </c>
      <c r="G66" s="7">
        <f>E66-0.5*F66</f>
        <v>76829.4852931452</v>
      </c>
      <c r="H66" s="7">
        <f>G66+H67</f>
        <v>1542863.0896514044</v>
      </c>
      <c r="I66" s="8">
        <f>H66/E66</f>
        <v>19.926179321985362</v>
      </c>
    </row>
    <row r="67" spans="1:9">
      <c r="A67" s="4" t="s">
        <v>135</v>
      </c>
      <c r="B67" s="5">
        <f>Fuente_mx!C68</f>
        <v>0.01681223</v>
      </c>
      <c r="C67" s="5">
        <f>2*B67/(2+B67)</f>
        <v>0.01667208255673856</v>
      </c>
      <c r="D67" s="5">
        <f>1-C67</f>
        <v>0.9833279174432614</v>
      </c>
      <c r="E67" s="7">
        <f>E66-F66</f>
        <v>76230.02323414544</v>
      </c>
      <c r="F67" s="7">
        <f>E67*C67</f>
        <v>1270.9132406617712</v>
      </c>
      <c r="G67" s="7">
        <f>E67-0.5*F67</f>
        <v>75594.56661381456</v>
      </c>
      <c r="H67" s="7">
        <f>G67+H68</f>
        <v>1466033.6043582591</v>
      </c>
      <c r="I67" s="8">
        <f>H67/E67</f>
        <v>19.231708743617226</v>
      </c>
    </row>
    <row r="68" spans="1:9">
      <c r="A68" s="4" t="s">
        <v>137</v>
      </c>
      <c r="B68" s="5">
        <f>Fuente_mx!C69</f>
        <v>0.01811463</v>
      </c>
      <c r="C68" s="5">
        <f>2*B68/(2+B68)</f>
        <v>0.017952032784183326</v>
      </c>
      <c r="D68" s="5">
        <f>1-C68</f>
        <v>0.9820479672158167</v>
      </c>
      <c r="E68" s="7">
        <f>E67-F67</f>
        <v>74959.10999348367</v>
      </c>
      <c r="F68" s="7">
        <f>E68*C68</f>
        <v>1345.6684000762227</v>
      </c>
      <c r="G68" s="7">
        <f>E68-0.5*F68</f>
        <v>74286.27579344556</v>
      </c>
      <c r="H68" s="7">
        <f>G68+H69</f>
        <v>1390439.0377444446</v>
      </c>
      <c r="I68" s="8">
        <f>H68/E68</f>
        <v>18.54930025003389</v>
      </c>
    </row>
    <row r="69" spans="1:9">
      <c r="A69" s="4" t="s">
        <v>139</v>
      </c>
      <c r="B69" s="5">
        <f>Fuente_mx!C70</f>
        <v>0.01951932</v>
      </c>
      <c r="C69" s="5">
        <f>2*B69/(2+B69)</f>
        <v>0.0193306593372922</v>
      </c>
      <c r="D69" s="5">
        <f>1-C69</f>
        <v>0.9806693406627078</v>
      </c>
      <c r="E69" s="7">
        <f>E68-F68</f>
        <v>73613.44159340745</v>
      </c>
      <c r="F69" s="7">
        <f>E69*C69</f>
        <v>1422.996362087816</v>
      </c>
      <c r="G69" s="7">
        <f>E69-0.5*F69</f>
        <v>72901.94341236354</v>
      </c>
      <c r="H69" s="7">
        <f>G69+H70</f>
        <v>1316152.761950999</v>
      </c>
      <c r="I69" s="8">
        <f>H69/E69</f>
        <v>17.879245059897713</v>
      </c>
    </row>
    <row r="70" spans="1:9">
      <c r="A70" s="4" t="s">
        <v>141</v>
      </c>
      <c r="B70" s="5">
        <f>Fuente_mx!C71</f>
        <v>0.0210339</v>
      </c>
      <c r="C70" s="5">
        <f>2*B70/(2+B70)</f>
        <v>0.020814989793095505</v>
      </c>
      <c r="D70" s="5">
        <f>1-C70</f>
        <v>0.9791850102069045</v>
      </c>
      <c r="E70" s="7">
        <f>E69-F69</f>
        <v>72190.44523131964</v>
      </c>
      <c r="F70" s="7">
        <f>E70*C70</f>
        <v>1502.6433806489383</v>
      </c>
      <c r="G70" s="7">
        <f>E70-0.5*F70</f>
        <v>71439.12354099516</v>
      </c>
      <c r="H70" s="7">
        <f>G70+H71</f>
        <v>1243250.8185386355</v>
      </c>
      <c r="I70" s="8">
        <f>H70/E70</f>
        <v>17.221819515794515</v>
      </c>
    </row>
    <row r="71" spans="1:9">
      <c r="A71" s="4" t="s">
        <v>143</v>
      </c>
      <c r="B71" s="5">
        <f>Fuente_mx!C72</f>
        <v>0.02266656</v>
      </c>
      <c r="C71" s="5">
        <f>2*B71/(2+B71)</f>
        <v>0.022412552269613834</v>
      </c>
      <c r="D71" s="5">
        <f>1-C71</f>
        <v>0.9775874477303862</v>
      </c>
      <c r="E71" s="7">
        <f>E70-F70</f>
        <v>70687.8018506707</v>
      </c>
      <c r="F71" s="7">
        <f>E71*C71</f>
        <v>1584.2940538022626</v>
      </c>
      <c r="G71" s="7">
        <f>E71-0.5*F71</f>
        <v>69895.65482376957</v>
      </c>
      <c r="H71" s="7">
        <f>G71+H72</f>
        <v>1171811.6949976403</v>
      </c>
      <c r="I71" s="8">
        <f>H71/E71</f>
        <v>16.577282986859803</v>
      </c>
    </row>
    <row r="72" spans="1:9">
      <c r="A72" s="4" t="s">
        <v>145</v>
      </c>
      <c r="B72" s="5">
        <f>Fuente_mx!C73</f>
        <v>0.02442607</v>
      </c>
      <c r="C72" s="5">
        <f>2*B72/(2+B72)</f>
        <v>0.02413135294192294</v>
      </c>
      <c r="D72" s="5">
        <f>1-C72</f>
        <v>0.9758686470580771</v>
      </c>
      <c r="E72" s="7">
        <f>E71-F71</f>
        <v>69103.50779686843</v>
      </c>
      <c r="F72" s="7">
        <f>E72*C72</f>
        <v>1667.561136171156</v>
      </c>
      <c r="G72" s="7">
        <f>E72-0.5*F72</f>
        <v>68269.72722878285</v>
      </c>
      <c r="H72" s="7">
        <f>G72+H73</f>
        <v>1101916.0401738707</v>
      </c>
      <c r="I72" s="8">
        <f>H72/E72</f>
        <v>15.945877066226243</v>
      </c>
    </row>
    <row r="73" spans="1:9">
      <c r="A73" s="4" t="s">
        <v>147</v>
      </c>
      <c r="B73" s="5">
        <f>Fuente_mx!C74</f>
        <v>0.02632187</v>
      </c>
      <c r="C73" s="5">
        <f>2*B73/(2+B73)</f>
        <v>0.025979949572374702</v>
      </c>
      <c r="D73" s="5">
        <f>1-C73</f>
        <v>0.9740200504276253</v>
      </c>
      <c r="E73" s="7">
        <f>E72-F72</f>
        <v>67435.94666069729</v>
      </c>
      <c r="F73" s="7">
        <f>E73*C73</f>
        <v>1751.9824936102657</v>
      </c>
      <c r="G73" s="7">
        <f>E73-0.5*F73</f>
        <v>66559.95541389215</v>
      </c>
      <c r="H73" s="7">
        <f>G73+H74</f>
        <v>1033646.3129450878</v>
      </c>
      <c r="I73" s="8">
        <f>H73/E73</f>
        <v>15.327823870344107</v>
      </c>
    </row>
    <row r="74" spans="1:9">
      <c r="A74" s="4" t="s">
        <v>149</v>
      </c>
      <c r="B74" s="5">
        <f>Fuente_mx!C75</f>
        <v>0.02836407</v>
      </c>
      <c r="C74" s="5">
        <f>2*B74/(2+B74)</f>
        <v>0.02796743485995589</v>
      </c>
      <c r="D74" s="5">
        <f>1-C74</f>
        <v>0.9720325651400441</v>
      </c>
      <c r="E74" s="7">
        <f>E73-F73</f>
        <v>65683.96416708702</v>
      </c>
      <c r="F74" s="7">
        <f>E74*C74</f>
        <v>1837.011989186683</v>
      </c>
      <c r="G74" s="7">
        <f>E74-0.5*F74</f>
        <v>64765.45817249368</v>
      </c>
      <c r="H74" s="7">
        <f>G74+H75</f>
        <v>967086.3575311956</v>
      </c>
      <c r="I74" s="8">
        <f>H74/E74</f>
        <v>14.723325088466328</v>
      </c>
    </row>
    <row r="75" spans="1:9">
      <c r="A75" s="4" t="s">
        <v>151</v>
      </c>
      <c r="B75" s="5">
        <f>Fuente_mx!C76</f>
        <v>0.0305635</v>
      </c>
      <c r="C75" s="5">
        <f>2*B75/(2+B75)</f>
        <v>0.03010346635305914</v>
      </c>
      <c r="D75" s="5">
        <f>1-C75</f>
        <v>0.9698965336469408</v>
      </c>
      <c r="E75" s="7">
        <f>E74-F74</f>
        <v>63846.95217790033</v>
      </c>
      <c r="F75" s="7">
        <f>E75*C75</f>
        <v>1922.0145766327987</v>
      </c>
      <c r="G75" s="7">
        <f>E75-0.5*F75</f>
        <v>62885.94488958393</v>
      </c>
      <c r="H75" s="7">
        <f>G75+H76</f>
        <v>902320.8993587019</v>
      </c>
      <c r="I75" s="8">
        <f>H75/E75</f>
        <v>14.132560264498057</v>
      </c>
    </row>
    <row r="76" spans="1:9">
      <c r="A76" s="4" t="s">
        <v>153</v>
      </c>
      <c r="B76" s="5">
        <f>Fuente_mx!C77</f>
        <v>0.03293174</v>
      </c>
      <c r="C76" s="5">
        <f>2*B76/(2+B76)</f>
        <v>0.032398274228331934</v>
      </c>
      <c r="D76" s="5">
        <f>1-C76</f>
        <v>0.967601725771668</v>
      </c>
      <c r="E76" s="7">
        <f>E75-F75</f>
        <v>61924.937601267535</v>
      </c>
      <c r="F76" s="7">
        <f>E76*C76</f>
        <v>2006.261109978209</v>
      </c>
      <c r="G76" s="7">
        <f>E76-0.5*F76</f>
        <v>60921.80704627843</v>
      </c>
      <c r="H76" s="7">
        <f>G76+H77</f>
        <v>839434.9544691179</v>
      </c>
      <c r="I76" s="8">
        <f>H76/E76</f>
        <v>13.55568510822263</v>
      </c>
    </row>
    <row r="77" spans="1:9">
      <c r="A77" s="4" t="s">
        <v>155</v>
      </c>
      <c r="B77" s="5">
        <f>Fuente_mx!C78</f>
        <v>0.03548117</v>
      </c>
      <c r="C77" s="5">
        <f>2*B77/(2+B77)</f>
        <v>0.03486268556343363</v>
      </c>
      <c r="D77" s="5">
        <f>1-C77</f>
        <v>0.9651373144365664</v>
      </c>
      <c r="E77" s="7">
        <f>E76-F76</f>
        <v>59918.67649128933</v>
      </c>
      <c r="F77" s="7">
        <f>E77*C77</f>
        <v>2088.9259778929227</v>
      </c>
      <c r="G77" s="7">
        <f>E77-0.5*F77</f>
        <v>58874.213502342864</v>
      </c>
      <c r="H77" s="7">
        <f>G77+H78</f>
        <v>778513.1474228395</v>
      </c>
      <c r="I77" s="8">
        <f>H77/E77</f>
        <v>12.992829498428856</v>
      </c>
    </row>
    <row r="78" spans="1:9">
      <c r="A78" s="4" t="s">
        <v>157</v>
      </c>
      <c r="B78" s="5">
        <f>Fuente_mx!C79</f>
        <v>0.03822507</v>
      </c>
      <c r="C78" s="5">
        <f>2*B78/(2+B78)</f>
        <v>0.037508193341964924</v>
      </c>
      <c r="D78" s="5">
        <f>1-C78</f>
        <v>0.962491806658035</v>
      </c>
      <c r="E78" s="7">
        <f>E77-F77</f>
        <v>57829.7505133964</v>
      </c>
      <c r="F78" s="7">
        <f>E78*C78</f>
        <v>2169.0894631740675</v>
      </c>
      <c r="G78" s="7">
        <f>E78-0.5*F78</f>
        <v>56745.20578180937</v>
      </c>
      <c r="H78" s="7">
        <f>G78+H79</f>
        <v>719638.9339204967</v>
      </c>
      <c r="I78" s="8">
        <f>H78/E78</f>
        <v>12.444095427210785</v>
      </c>
    </row>
    <row r="79" spans="1:9">
      <c r="A79" s="4" t="s">
        <v>159</v>
      </c>
      <c r="B79" s="5">
        <f>Fuente_mx!C80</f>
        <v>0.04117756</v>
      </c>
      <c r="C79" s="5">
        <f>2*B79/(2+B79)</f>
        <v>0.040346867226974614</v>
      </c>
      <c r="D79" s="5">
        <f>1-C79</f>
        <v>0.9596531327730253</v>
      </c>
      <c r="E79" s="7">
        <f>E78-F78</f>
        <v>55660.66105022233</v>
      </c>
      <c r="F79" s="7">
        <f>E79*C79</f>
        <v>2245.7333011589576</v>
      </c>
      <c r="G79" s="7">
        <f>E79-0.5*F79</f>
        <v>54537.79439964285</v>
      </c>
      <c r="H79" s="7">
        <f>G79+H80</f>
        <v>662893.7281386873</v>
      </c>
      <c r="I79" s="8">
        <f>H79/E79</f>
        <v>11.909555431628124</v>
      </c>
    </row>
    <row r="80" spans="1:9">
      <c r="A80" s="4" t="s">
        <v>161</v>
      </c>
      <c r="B80" s="5">
        <f>Fuente_mx!C81</f>
        <v>0.04435374</v>
      </c>
      <c r="C80" s="5">
        <f>2*B80/(2+B80)</f>
        <v>0.043391453379296285</v>
      </c>
      <c r="D80" s="5">
        <f>1-C80</f>
        <v>0.9566085466207037</v>
      </c>
      <c r="E80" s="7">
        <f>E79-F79</f>
        <v>53414.92774906337</v>
      </c>
      <c r="F80" s="7">
        <f>E80*C80</f>
        <v>2317.7513471819625</v>
      </c>
      <c r="G80" s="7">
        <f>E80-0.5*F80</f>
        <v>52256.052075472384</v>
      </c>
      <c r="H80" s="7">
        <f>G80+H81</f>
        <v>608355.9337390445</v>
      </c>
      <c r="I80" s="8">
        <f>H80/E80</f>
        <v>11.38924939853938</v>
      </c>
    </row>
    <row r="81" spans="1:9">
      <c r="A81" s="4" t="s">
        <v>163</v>
      </c>
      <c r="B81" s="5">
        <f>Fuente_mx!C82</f>
        <v>0.0477697</v>
      </c>
      <c r="C81" s="5">
        <f>2*B81/(2+B81)</f>
        <v>0.046655344104368765</v>
      </c>
      <c r="D81" s="5">
        <f>1-C81</f>
        <v>0.9533446558956312</v>
      </c>
      <c r="E81" s="7">
        <f>E80-F80</f>
        <v>51097.17640188141</v>
      </c>
      <c r="F81" s="7">
        <f>E81*C81</f>
        <v>2383.9563477914085</v>
      </c>
      <c r="G81" s="7">
        <f>E81-0.5*F81</f>
        <v>49905.198227985704</v>
      </c>
      <c r="H81" s="7">
        <f>G81+H82</f>
        <v>556099.881663572</v>
      </c>
      <c r="I81" s="8">
        <f>H81/E81</f>
        <v>10.883182219107832</v>
      </c>
    </row>
    <row r="82" spans="1:9">
      <c r="A82" s="4" t="s">
        <v>165</v>
      </c>
      <c r="B82" s="5">
        <f>Fuente_mx!C83</f>
        <v>0.05144256</v>
      </c>
      <c r="C82" s="5">
        <f>2*B82/(2+B82)</f>
        <v>0.05015257166157262</v>
      </c>
      <c r="D82" s="5">
        <f>1-C82</f>
        <v>0.9498474283384274</v>
      </c>
      <c r="E82" s="7">
        <f>E81-F81</f>
        <v>48713.220054089994</v>
      </c>
      <c r="F82" s="7">
        <f>E82*C82</f>
        <v>2443.0932596287053</v>
      </c>
      <c r="G82" s="7">
        <f>E82-0.5*F82</f>
        <v>47491.67342427564</v>
      </c>
      <c r="H82" s="7">
        <f>G82+H83</f>
        <v>506194.68343558634</v>
      </c>
      <c r="I82" s="8">
        <f>H82/E82</f>
        <v>10.391320525999305</v>
      </c>
    </row>
    <row r="83" spans="1:9">
      <c r="A83" s="4" t="s">
        <v>167</v>
      </c>
      <c r="B83" s="5">
        <f>Fuente_mx!C84</f>
        <v>0.05539053</v>
      </c>
      <c r="C83" s="5">
        <f>2*B83/(2+B83)</f>
        <v>0.0538978157109637</v>
      </c>
      <c r="D83" s="5">
        <f>1-C83</f>
        <v>0.9461021842890363</v>
      </c>
      <c r="E83" s="7">
        <f>E82-F82</f>
        <v>46270.12679446129</v>
      </c>
      <c r="F83" s="7">
        <f>E83*C83</f>
        <v>2493.858766890798</v>
      </c>
      <c r="G83" s="7">
        <f>E83-0.5*F83</f>
        <v>45023.19741101589</v>
      </c>
      <c r="H83" s="7">
        <f>G83+H84</f>
        <v>458703.0100113107</v>
      </c>
      <c r="I83" s="8">
        <f>H83/E83</f>
        <v>9.913588783729445</v>
      </c>
    </row>
    <row r="84" spans="1:9">
      <c r="A84" s="4" t="s">
        <v>169</v>
      </c>
      <c r="B84" s="5">
        <f>Fuente_mx!C85</f>
        <v>0.05963296</v>
      </c>
      <c r="C84" s="5">
        <f>2*B84/(2+B84)</f>
        <v>0.05790639512779985</v>
      </c>
      <c r="D84" s="5">
        <f>1-C84</f>
        <v>0.9420936048722002</v>
      </c>
      <c r="E84" s="7">
        <f>E83-F83</f>
        <v>43776.26802757049</v>
      </c>
      <c r="F84" s="7">
        <f>E84*C84</f>
        <v>2534.9258736249685</v>
      </c>
      <c r="G84" s="7">
        <f>E84-0.5*F84</f>
        <v>42508.805090758004</v>
      </c>
      <c r="H84" s="7">
        <f>G84+H85</f>
        <v>413679.8126002948</v>
      </c>
      <c r="I84" s="8">
        <f>H84/E84</f>
        <v>9.449864760964946</v>
      </c>
    </row>
    <row r="85" spans="1:9">
      <c r="A85" s="4" t="s">
        <v>171</v>
      </c>
      <c r="B85" s="5">
        <f>Fuente_mx!C86</f>
        <v>0.06419039</v>
      </c>
      <c r="C85" s="5">
        <f>2*B85/(2+B85)</f>
        <v>0.06219425331206973</v>
      </c>
      <c r="D85" s="5">
        <f>1-C85</f>
        <v>0.9378057466879303</v>
      </c>
      <c r="E85" s="7">
        <f>E84-F84</f>
        <v>41241.34215394552</v>
      </c>
      <c r="F85" s="7">
        <f>E85*C85</f>
        <v>2564.9744808522273</v>
      </c>
      <c r="G85" s="7">
        <f>E85-0.5*F85</f>
        <v>39958.85491351941</v>
      </c>
      <c r="H85" s="7">
        <f>G85+H86</f>
        <v>371171.0075095368</v>
      </c>
      <c r="I85" s="8">
        <f>H85/E85</f>
        <v>8.999974009672894</v>
      </c>
    </row>
    <row r="86" spans="1:9">
      <c r="A86" s="4" t="s">
        <v>173</v>
      </c>
      <c r="B86" s="5">
        <f>Fuente_mx!C87</f>
        <v>0.06908457</v>
      </c>
      <c r="C86" s="5">
        <f>2*B86/(2+B86)</f>
        <v>0.06677790845446206</v>
      </c>
      <c r="D86" s="5">
        <f>1-C86</f>
        <v>0.9332220915455379</v>
      </c>
      <c r="E86" s="7">
        <f>E85-F85</f>
        <v>38676.36767309329</v>
      </c>
      <c r="F86" s="7">
        <f>E86*C86</f>
        <v>2582.72693982494</v>
      </c>
      <c r="G86" s="7">
        <f>E86-0.5*F86</f>
        <v>37385.004203180826</v>
      </c>
      <c r="H86" s="7">
        <f>G86+H87</f>
        <v>331212.1525960174</v>
      </c>
      <c r="I86" s="8">
        <f>H86/E86</f>
        <v>8.563683006520748</v>
      </c>
    </row>
    <row r="87" spans="1:9">
      <c r="A87" s="4" t="s">
        <v>175</v>
      </c>
      <c r="B87" s="5">
        <f>Fuente_mx!C88</f>
        <v>0.07433851</v>
      </c>
      <c r="C87" s="5">
        <f>2*B87/(2+B87)</f>
        <v>0.07167442501947283</v>
      </c>
      <c r="D87" s="5">
        <f>1-C87</f>
        <v>0.9283255749805271</v>
      </c>
      <c r="E87" s="7">
        <f>E86-F86</f>
        <v>36093.64073326835</v>
      </c>
      <c r="F87" s="7">
        <f>E87*C87</f>
        <v>2586.9909464164325</v>
      </c>
      <c r="G87" s="7">
        <f>E87-0.5*F87</f>
        <v>34800.14526006013</v>
      </c>
      <c r="H87" s="7">
        <f>G87+H88</f>
        <v>293827.14839283656</v>
      </c>
      <c r="I87" s="8">
        <f>H87/E87</f>
        <v>8.14069022751726</v>
      </c>
    </row>
    <row r="88" spans="1:9">
      <c r="A88" s="4" t="s">
        <v>177</v>
      </c>
      <c r="B88" s="5">
        <f>Fuente_mx!C89</f>
        <v>0.07997653</v>
      </c>
      <c r="C88" s="5">
        <f>2*B88/(2+B88)</f>
        <v>0.07690137734390685</v>
      </c>
      <c r="D88" s="5">
        <f>1-C88</f>
        <v>0.9230986226560931</v>
      </c>
      <c r="E88" s="7">
        <f>E87-F87</f>
        <v>33506.64978685192</v>
      </c>
      <c r="F88" s="7">
        <f>E88*C88</f>
        <v>2576.707518788836</v>
      </c>
      <c r="G88" s="7">
        <f>E88-0.5*F88</f>
        <v>32218.296027457505</v>
      </c>
      <c r="H88" s="7">
        <f>G88+H89</f>
        <v>259027.00313277642</v>
      </c>
      <c r="I88" s="8">
        <f>H88/E88</f>
        <v>7.730614811702814</v>
      </c>
    </row>
    <row r="89" spans="1:9">
      <c r="A89" s="4" t="s">
        <v>179</v>
      </c>
      <c r="B89" s="5">
        <f>Fuente_mx!C90</f>
        <v>0.08602429</v>
      </c>
      <c r="C89" s="5">
        <f>2*B89/(2+B89)</f>
        <v>0.08247678649993093</v>
      </c>
      <c r="D89" s="5">
        <f>1-C89</f>
        <v>0.917523213500069</v>
      </c>
      <c r="E89" s="7">
        <f>E88-F88</f>
        <v>30929.942268063085</v>
      </c>
      <c r="F89" s="7">
        <f>E89*C89</f>
        <v>2551.0022448982286</v>
      </c>
      <c r="G89" s="7">
        <f>E89-0.5*F89</f>
        <v>29654.44114561397</v>
      </c>
      <c r="H89" s="7">
        <f>G89+H90</f>
        <v>226808.7071053189</v>
      </c>
      <c r="I89" s="8">
        <f>H89/E89</f>
        <v>7.332981909232715</v>
      </c>
    </row>
    <row r="90" spans="1:9">
      <c r="A90" s="4" t="s">
        <v>181</v>
      </c>
      <c r="B90" s="5">
        <f>Fuente_mx!C91</f>
        <v>0.09250879</v>
      </c>
      <c r="C90" s="5">
        <f>2*B90/(2+B90)</f>
        <v>0.0884190216472161</v>
      </c>
      <c r="D90" s="5">
        <f>1-C90</f>
        <v>0.911580978352784</v>
      </c>
      <c r="E90" s="7">
        <f>E89-F89</f>
        <v>28378.940023164854</v>
      </c>
      <c r="F90" s="7">
        <f>E90*C90</f>
        <v>2509.238112233261</v>
      </c>
      <c r="G90" s="7">
        <f>E90-0.5*F90</f>
        <v>27124.320967048225</v>
      </c>
      <c r="H90" s="7">
        <f>G90+H91</f>
        <v>197154.26595970494</v>
      </c>
      <c r="I90" s="8">
        <f>H90/E90</f>
        <v>6.947203306352316</v>
      </c>
    </row>
    <row r="91" spans="1:9">
      <c r="A91" s="4" t="s">
        <v>183</v>
      </c>
      <c r="B91" s="5">
        <f>Fuente_mx!C92</f>
        <v>0.09962132</v>
      </c>
      <c r="C91" s="5">
        <f>2*B91/(2+B91)</f>
        <v>0.09489455936749586</v>
      </c>
      <c r="D91" s="5">
        <f>1-C91</f>
        <v>0.9051054406325041</v>
      </c>
      <c r="E91" s="7">
        <f>E90-F90</f>
        <v>25869.701910931595</v>
      </c>
      <c r="F91" s="7">
        <f>E91*C91</f>
        <v>2454.8939638063193</v>
      </c>
      <c r="G91" s="7">
        <f>E91-0.5*F91</f>
        <v>24642.254929028437</v>
      </c>
      <c r="H91" s="7">
        <f>G91+H92</f>
        <v>170029.9449926567</v>
      </c>
      <c r="I91" s="8">
        <f>H91/E91</f>
        <v>6.572551379913977</v>
      </c>
    </row>
    <row r="92" spans="1:9">
      <c r="A92" s="4" t="s">
        <v>185</v>
      </c>
      <c r="B92" s="5">
        <f>Fuente_mx!C93</f>
        <v>0.10743086</v>
      </c>
      <c r="C92" s="5">
        <f>2*B92/(2+B92)</f>
        <v>0.10195433884839288</v>
      </c>
      <c r="D92" s="5">
        <f>1-C92</f>
        <v>0.8980456611516071</v>
      </c>
      <c r="E92" s="7">
        <f>E91-F91</f>
        <v>23414.807947125275</v>
      </c>
      <c r="F92" s="7">
        <f>E92*C92</f>
        <v>2387.241263511253</v>
      </c>
      <c r="G92" s="7">
        <f>E92-0.5*F92</f>
        <v>22221.187315369647</v>
      </c>
      <c r="H92" s="7">
        <f>G92+H93</f>
        <v>145387.69006362828</v>
      </c>
      <c r="I92" s="8">
        <f>H92/E92</f>
        <v>6.209219840365083</v>
      </c>
    </row>
    <row r="93" spans="1:9">
      <c r="A93" s="4" t="s">
        <v>187</v>
      </c>
      <c r="B93" s="5">
        <f>Fuente_mx!C94</f>
        <v>0.11601475</v>
      </c>
      <c r="C93" s="5">
        <f>2*B93/(2+B93)</f>
        <v>0.1096540087917629</v>
      </c>
      <c r="D93" s="5">
        <f>1-C93</f>
        <v>0.8903459912082371</v>
      </c>
      <c r="E93" s="7">
        <f>E92-F92</f>
        <v>21027.566683614023</v>
      </c>
      <c r="F93" s="7">
        <f>E93*C93</f>
        <v>2305.756981994393</v>
      </c>
      <c r="G93" s="7">
        <f>E93-0.5*F93</f>
        <v>19874.688192616828</v>
      </c>
      <c r="H93" s="7">
        <f>G93+H94</f>
        <v>123166.50274825863</v>
      </c>
      <c r="I93" s="8">
        <f>H93/E93</f>
        <v>5.857382577901301</v>
      </c>
    </row>
    <row r="94" spans="1:9">
      <c r="A94" s="4" t="s">
        <v>189</v>
      </c>
      <c r="B94" s="5">
        <f>Fuente_mx!C95</f>
        <v>0.12545986</v>
      </c>
      <c r="C94" s="5">
        <f>2*B94/(2+B94)</f>
        <v>0.11805432072473955</v>
      </c>
      <c r="D94" s="5">
        <f>1-C94</f>
        <v>0.8819456792752605</v>
      </c>
      <c r="E94" s="7">
        <f>E93-F93</f>
        <v>18721.80970161963</v>
      </c>
      <c r="F94" s="7">
        <f>E94*C94</f>
        <v>2210.1905270625443</v>
      </c>
      <c r="G94" s="7">
        <f>E94-0.5*F94</f>
        <v>17616.71443808836</v>
      </c>
      <c r="H94" s="7">
        <f>G94+H95</f>
        <v>103291.8145556418</v>
      </c>
      <c r="I94" s="8">
        <f>H94/E94</f>
        <v>5.517191778031266</v>
      </c>
    </row>
    <row r="95" spans="1:9">
      <c r="A95" s="4" t="s">
        <v>191</v>
      </c>
      <c r="B95" s="5">
        <f>Fuente_mx!C96</f>
        <v>0.13586382</v>
      </c>
      <c r="C95" s="5">
        <f>2*B95/(2+B95)</f>
        <v>0.12722142556822746</v>
      </c>
      <c r="D95" s="5">
        <f>1-C95</f>
        <v>0.8727785744317725</v>
      </c>
      <c r="E95" s="7">
        <f>E94-F94</f>
        <v>16511.619174557087</v>
      </c>
      <c r="F95" s="7">
        <f>E95*C95</f>
        <v>2100.631729826832</v>
      </c>
      <c r="G95" s="7">
        <f>E95-0.5*F95</f>
        <v>15461.30330964367</v>
      </c>
      <c r="H95" s="7">
        <f>G95+H96</f>
        <v>85675.10011755345</v>
      </c>
      <c r="I95" s="8">
        <f>H95/E95</f>
        <v>5.188776413252738</v>
      </c>
    </row>
    <row r="96" spans="1:9">
      <c r="A96" s="4" t="s">
        <v>193</v>
      </c>
      <c r="B96" s="5">
        <f>Fuente_mx!C97</f>
        <v>0.14733647</v>
      </c>
      <c r="C96" s="5">
        <f>2*B96/(2+B96)</f>
        <v>0.13722718545361454</v>
      </c>
      <c r="D96" s="5">
        <f>1-C96</f>
        <v>0.8627728145463854</v>
      </c>
      <c r="E96" s="7">
        <f>E95-F95</f>
        <v>14410.987444730255</v>
      </c>
      <c r="F96" s="7">
        <f>E96*C96</f>
        <v>1977.5792466477094</v>
      </c>
      <c r="G96" s="7">
        <f>E96-0.5*F96</f>
        <v>13422.1978214064</v>
      </c>
      <c r="H96" s="7">
        <f>G96+H97</f>
        <v>70213.79680790978</v>
      </c>
      <c r="I96" s="8">
        <f>H96/E96</f>
        <v>4.872240509347279</v>
      </c>
    </row>
    <row r="97" spans="1:9">
      <c r="A97" s="4" t="s">
        <v>195</v>
      </c>
      <c r="B97" s="5">
        <f>Fuente_mx!C98</f>
        <v>0.16000155</v>
      </c>
      <c r="C97" s="5">
        <f>2*B97/(2+B97)</f>
        <v>0.14814947702236603</v>
      </c>
      <c r="D97" s="5">
        <f>1-C97</f>
        <v>0.851850522977634</v>
      </c>
      <c r="E97" s="7">
        <f>E96-F96</f>
        <v>12433.408198082545</v>
      </c>
      <c r="F97" s="7">
        <f>E97*C97</f>
        <v>1842.0029221515274</v>
      </c>
      <c r="G97" s="7">
        <f>E97-0.5*F97</f>
        <v>11512.40673700678</v>
      </c>
      <c r="H97" s="7">
        <f>G97+H98</f>
        <v>56791.59898650338</v>
      </c>
      <c r="I97" s="8">
        <f>H97/E97</f>
        <v>4.567661423298373</v>
      </c>
    </row>
    <row r="98" spans="1:9">
      <c r="A98" s="4" t="s">
        <v>197</v>
      </c>
      <c r="B98" s="5">
        <f>Fuente_mx!C99</f>
        <v>0.1739985</v>
      </c>
      <c r="C98" s="5">
        <f>2*B98/(2+B98)</f>
        <v>0.16007232755680373</v>
      </c>
      <c r="D98" s="5">
        <f>1-C98</f>
        <v>0.8399276724431963</v>
      </c>
      <c r="E98" s="7">
        <f>E97-F97</f>
        <v>10591.405275931018</v>
      </c>
      <c r="F98" s="7">
        <f>E98*C98</f>
        <v>1695.3908946156891</v>
      </c>
      <c r="G98" s="7">
        <f>E98-0.5*F98</f>
        <v>9743.709828623174</v>
      </c>
      <c r="H98" s="7">
        <f>G98+H99</f>
        <v>45279.1922494966</v>
      </c>
      <c r="I98" s="8">
        <f>H98/E98</f>
        <v>4.275088250318739</v>
      </c>
    </row>
    <row r="99" spans="1:9">
      <c r="A99" s="4" t="s">
        <v>199</v>
      </c>
      <c r="B99" s="5">
        <f>Fuente_mx!C100</f>
        <v>0.18948474</v>
      </c>
      <c r="C99" s="5">
        <f>2*B99/(2+B99)</f>
        <v>0.17308614811355114</v>
      </c>
      <c r="D99" s="5">
        <f>1-C99</f>
        <v>0.8269138518864488</v>
      </c>
      <c r="E99" s="7">
        <f>E98-F98</f>
        <v>8896.01438131533</v>
      </c>
      <c r="F99" s="7">
        <f>E99*C99</f>
        <v>1539.7768628246263</v>
      </c>
      <c r="G99" s="7">
        <f>E99-0.5*F99</f>
        <v>8126.125949903017</v>
      </c>
      <c r="H99" s="7">
        <f>G99+H100</f>
        <v>35535.48242087343</v>
      </c>
      <c r="I99" s="8">
        <f>H99/E99</f>
        <v>3.9945396778483278</v>
      </c>
    </row>
    <row r="100" spans="1:9">
      <c r="A100" s="4" t="s">
        <v>201</v>
      </c>
      <c r="B100" s="5">
        <f>Fuente_mx!C101</f>
        <v>0.20663812</v>
      </c>
      <c r="C100" s="5">
        <f>2*B100/(2+B100)</f>
        <v>0.1872877279941126</v>
      </c>
      <c r="D100" s="5">
        <f>1-C100</f>
        <v>0.8127122720058874</v>
      </c>
      <c r="E100" s="7">
        <f>E99-F99</f>
        <v>7356.237518490703</v>
      </c>
      <c r="F100" s="7">
        <f>E100*C100</f>
        <v>1377.7330114231727</v>
      </c>
      <c r="G100" s="7">
        <f>E100-0.5*F100</f>
        <v>6667.371012779116</v>
      </c>
      <c r="H100" s="7">
        <f>G100+H101</f>
        <v>27409.35647097041</v>
      </c>
      <c r="I100" s="8">
        <f>H100/E100</f>
        <v>3.7260021039388698</v>
      </c>
    </row>
    <row r="101" spans="1:9">
      <c r="A101" s="4" t="s">
        <v>203</v>
      </c>
      <c r="B101" s="5">
        <f>Fuente_mx!C102</f>
        <v>0.22565973</v>
      </c>
      <c r="C101" s="5">
        <f>2*B101/(2+B101)</f>
        <v>0.20278008085270072</v>
      </c>
      <c r="D101" s="5">
        <f>1-C101</f>
        <v>0.7972199191472993</v>
      </c>
      <c r="E101" s="7">
        <f>E100-F100</f>
        <v>5978.5045070675305</v>
      </c>
      <c r="F101" s="7">
        <f>E101*C101</f>
        <v>1212.3216273213895</v>
      </c>
      <c r="G101" s="7">
        <f>E101-0.5*F101</f>
        <v>5372.343693406836</v>
      </c>
      <c r="H101" s="7">
        <f>G101+H102</f>
        <v>20741.985458191295</v>
      </c>
      <c r="I101" s="8">
        <f>H101/E101</f>
        <v>3.469427083925589</v>
      </c>
    </row>
    <row r="102" spans="1:9">
      <c r="A102" s="4" t="s">
        <v>205</v>
      </c>
      <c r="B102" s="5">
        <f>Fuente_mx!C103</f>
        <v>0.24677724</v>
      </c>
      <c r="C102" s="5">
        <f>2*B102/(2+B102)</f>
        <v>0.21967219144520087</v>
      </c>
      <c r="D102" s="5">
        <f>1-C102</f>
        <v>0.7803278085547991</v>
      </c>
      <c r="E102" s="7">
        <f>E101-F101</f>
        <v>4766.182879746141</v>
      </c>
      <c r="F102" s="7">
        <f>E102*C102</f>
        <v>1046.9978380224331</v>
      </c>
      <c r="G102" s="7">
        <f>E102-0.5*F102</f>
        <v>4242.683960734925</v>
      </c>
      <c r="H102" s="7">
        <f>G102+H103</f>
        <v>15369.641764784457</v>
      </c>
      <c r="I102" s="8">
        <f>H102/E102</f>
        <v>3.2247276599682393</v>
      </c>
    </row>
    <row r="103" spans="1:9">
      <c r="A103" s="4" t="s">
        <v>207</v>
      </c>
      <c r="B103" s="5">
        <f>Fuente_mx!C104</f>
        <v>0.27024868</v>
      </c>
      <c r="C103" s="5">
        <f>2*B103/(2+B103)</f>
        <v>0.23807848222160405</v>
      </c>
      <c r="D103" s="5">
        <f>1-C103</f>
        <v>0.761921517778396</v>
      </c>
      <c r="E103" s="7">
        <f>E102-F102</f>
        <v>3719.185041723708</v>
      </c>
      <c r="F103" s="7">
        <f>E103*C103</f>
        <v>885.4579298348735</v>
      </c>
      <c r="G103" s="7">
        <f>E103-0.5*F103</f>
        <v>3276.456076806271</v>
      </c>
      <c r="H103" s="7">
        <f>G103+H104</f>
        <v>11126.957804049533</v>
      </c>
      <c r="I103" s="8">
        <f>H103/E103</f>
        <v>2.991773111372966</v>
      </c>
    </row>
    <row r="104" spans="1:9">
      <c r="A104" s="4" t="s">
        <v>209</v>
      </c>
      <c r="B104" s="5">
        <f>Fuente_mx!C105</f>
        <v>0.29636676</v>
      </c>
      <c r="C104" s="5">
        <f>2*B104/(2+B104)</f>
        <v>0.2581179671839528</v>
      </c>
      <c r="D104" s="5">
        <f>1-C104</f>
        <v>0.7418820328160471</v>
      </c>
      <c r="E104" s="7">
        <f>E103-F103</f>
        <v>2833.7271118888348</v>
      </c>
      <c r="F104" s="7">
        <f>E104*C104</f>
        <v>731.4358816747996</v>
      </c>
      <c r="G104" s="7">
        <f>E104-0.5*F104</f>
        <v>2468.009171051435</v>
      </c>
      <c r="H104" s="7">
        <f>G104+H105</f>
        <v>7850.5017272432615</v>
      </c>
      <c r="I104" s="8">
        <f>H104/E104</f>
        <v>2.7703802861985785</v>
      </c>
    </row>
    <row r="105" spans="1:9">
      <c r="A105" s="4" t="s">
        <v>211</v>
      </c>
      <c r="B105" s="5">
        <f>Fuente_mx!C106</f>
        <v>0.3254639</v>
      </c>
      <c r="C105" s="5">
        <f>2*B105/(2+B105)</f>
        <v>0.27991309604935166</v>
      </c>
      <c r="D105" s="5">
        <f>1-C105</f>
        <v>0.7200869039506483</v>
      </c>
      <c r="E105" s="7">
        <f>E104-F104</f>
        <v>2102.291230214035</v>
      </c>
      <c r="F105" s="7">
        <f>E105*C105</f>
        <v>588.4588470466108</v>
      </c>
      <c r="G105" s="7">
        <f>E105-0.5*F105</f>
        <v>1808.0618066907296</v>
      </c>
      <c r="H105" s="7">
        <f>G105+H106</f>
        <v>5382.492556191826</v>
      </c>
      <c r="I105" s="8">
        <f>H105/E105</f>
        <v>2.560298249279113</v>
      </c>
    </row>
    <row r="106" spans="1:9">
      <c r="A106" s="4" t="s">
        <v>213</v>
      </c>
      <c r="B106" s="5">
        <f>Fuente_mx!C107</f>
        <v>0.35791804</v>
      </c>
      <c r="C106" s="5">
        <f>2*B106/(2+B106)</f>
        <v>0.30358819426989075</v>
      </c>
      <c r="D106" s="5">
        <f>1-C106</f>
        <v>0.6964118057301092</v>
      </c>
      <c r="E106" s="7">
        <f>E105-F105</f>
        <v>1513.832383167424</v>
      </c>
      <c r="F106" s="7">
        <f>E106*C106</f>
        <v>459.5816396330836</v>
      </c>
      <c r="G106" s="7">
        <f>E106-0.5*F106</f>
        <v>1284.0415633508821</v>
      </c>
      <c r="H106" s="7">
        <f>G106+H107</f>
        <v>3574.430749501096</v>
      </c>
      <c r="I106" s="8">
        <f>H106/E106</f>
        <v>2.361180001990866</v>
      </c>
    </row>
    <row r="107" spans="1:9">
      <c r="A107" s="4" t="s">
        <v>215</v>
      </c>
      <c r="B107" s="5">
        <f>Fuente_mx!C108</f>
        <v>0.39415932</v>
      </c>
      <c r="C107" s="5">
        <f>2*B107/(2+B107)</f>
        <v>0.32926741065836834</v>
      </c>
      <c r="D107" s="5">
        <f>1-C107</f>
        <v>0.6707325893416316</v>
      </c>
      <c r="E107" s="7">
        <f>E106-F106</f>
        <v>1054.2507435343402</v>
      </c>
      <c r="F107" s="7">
        <f>E107*C107</f>
        <v>347.13041250821175</v>
      </c>
      <c r="G107" s="7">
        <f>E107-0.5*F107</f>
        <v>880.6855372802344</v>
      </c>
      <c r="H107" s="7">
        <f>G107+H108</f>
        <v>2290.3891861502143</v>
      </c>
      <c r="I107" s="8">
        <f>H107/E107</f>
        <v>2.17252793056779</v>
      </c>
    </row>
    <row r="108" spans="1:9">
      <c r="A108" s="4" t="s">
        <v>217</v>
      </c>
      <c r="B108" s="5">
        <f>Fuente_mx!C109</f>
        <v>0.43512096</v>
      </c>
      <c r="C108" s="5">
        <f>2*B108/(2+B108)</f>
        <v>0.35737112623760586</v>
      </c>
      <c r="D108" s="5">
        <f>1-C108</f>
        <v>0.6426288737623942</v>
      </c>
      <c r="E108" s="7">
        <f>E107-F107</f>
        <v>707.1203310261284</v>
      </c>
      <c r="F108" s="7">
        <f>E108*C108</f>
        <v>252.70438908431618</v>
      </c>
      <c r="G108" s="7">
        <f>E108-0.5*F108</f>
        <v>580.7681364839702</v>
      </c>
      <c r="H108" s="7">
        <f>G108+H109</f>
        <v>1409.70364886998</v>
      </c>
      <c r="I108" s="8">
        <f>H108/E108</f>
        <v>1.9935838173742044</v>
      </c>
    </row>
    <row r="109" spans="1:9">
      <c r="A109" s="4" t="s">
        <v>219</v>
      </c>
      <c r="B109" s="5">
        <f>Fuente_mx!C110</f>
        <v>0.48088951</v>
      </c>
      <c r="C109" s="5">
        <f>2*B109/(2+B109)</f>
        <v>0.3876750722364899</v>
      </c>
      <c r="D109" s="5">
        <f>1-C109</f>
        <v>0.6123249277635101</v>
      </c>
      <c r="E109" s="7">
        <f>E108-F108</f>
        <v>454.41594194181226</v>
      </c>
      <c r="F109" s="7">
        <f>E109*C109</f>
        <v>176.16573311770466</v>
      </c>
      <c r="G109" s="7">
        <f>E109-0.5*F109</f>
        <v>366.3330753829599</v>
      </c>
      <c r="H109" s="7">
        <f>G109+H110</f>
        <v>828.9355123860097</v>
      </c>
      <c r="I109" s="8">
        <f>H109/E109</f>
        <v>1.8241778861098021</v>
      </c>
    </row>
    <row r="110" spans="1:9">
      <c r="A110" s="4" t="s">
        <v>221</v>
      </c>
      <c r="B110" s="5">
        <f>Fuente_mx!C111</f>
        <v>0.53208076</v>
      </c>
      <c r="C110" s="5">
        <f>2*B110/(2+B110)</f>
        <v>0.420271555635532</v>
      </c>
      <c r="D110" s="5">
        <f>1-C110</f>
        <v>0.579728444364468</v>
      </c>
      <c r="E110" s="7">
        <f>E109-F109</f>
        <v>278.2502088241076</v>
      </c>
      <c r="F110" s="7">
        <f>E110*C110</f>
        <v>116.94064811841932</v>
      </c>
      <c r="G110" s="7">
        <f>E110-0.5*F110</f>
        <v>219.77988476489793</v>
      </c>
      <c r="H110" s="7">
        <f>G110+H111</f>
        <v>462.6024370030498</v>
      </c>
      <c r="I110" s="8">
        <f>H110/E110</f>
        <v>1.6625412033220726</v>
      </c>
    </row>
    <row r="111" spans="1:9">
      <c r="A111" s="4" t="s">
        <v>223</v>
      </c>
      <c r="B111" s="5">
        <f>Fuente_mx!C112</f>
        <v>0.58939522</v>
      </c>
      <c r="C111" s="5">
        <f>2*B111/(2+B111)</f>
        <v>0.4552377446653354</v>
      </c>
      <c r="D111" s="5">
        <f>1-C111</f>
        <v>0.5447622553346646</v>
      </c>
      <c r="E111" s="7">
        <f>E110-F110</f>
        <v>161.30956070568826</v>
      </c>
      <c r="F111" s="7">
        <f>E111*C111</f>
        <v>73.43420060861354</v>
      </c>
      <c r="G111" s="7">
        <f>E111-0.5*F111</f>
        <v>124.59246040138149</v>
      </c>
      <c r="H111" s="7">
        <f>G111+H112</f>
        <v>242.82255223815181</v>
      </c>
      <c r="I111" s="8">
        <f>H111/E111</f>
        <v>1.5053202747305552</v>
      </c>
    </row>
    <row r="112" spans="1:9">
      <c r="A112" s="4" t="s">
        <v>225</v>
      </c>
      <c r="B112" s="5">
        <f>Fuente_mx!C113</f>
        <v>0.65363059</v>
      </c>
      <c r="C112" s="5">
        <f>2*B112/(2+B112)</f>
        <v>0.49263118420714314</v>
      </c>
      <c r="D112" s="5">
        <f>1-C112</f>
        <v>0.5073688157928569</v>
      </c>
      <c r="E112" s="7">
        <f>E111-F111</f>
        <v>87.87536009707472</v>
      </c>
      <c r="F112" s="7">
        <f>E112*C112</f>
        <v>43.29014270725105</v>
      </c>
      <c r="G112" s="7">
        <f>E112-0.5*F112</f>
        <v>66.2302887434492</v>
      </c>
      <c r="H112" s="7">
        <f>G112+H113</f>
        <v>118.23009183677033</v>
      </c>
      <c r="I112" s="8">
        <f>H112/E112</f>
        <v>1.345429386646759</v>
      </c>
    </row>
    <row r="113" spans="1:9">
      <c r="A113" s="4" t="s">
        <v>227</v>
      </c>
      <c r="B113" s="5">
        <f>Fuente_mx!C114</f>
        <v>0.72569593</v>
      </c>
      <c r="C113" s="5">
        <f>2*B113/(2+B113)</f>
        <v>0.5324848762569051</v>
      </c>
      <c r="D113" s="5">
        <f>1-C113</f>
        <v>0.4675151237430949</v>
      </c>
      <c r="E113" s="7">
        <f>E112-F112</f>
        <v>44.58521738982367</v>
      </c>
      <c r="F113" s="7">
        <f>E113*C113</f>
        <v>23.74095396470747</v>
      </c>
      <c r="G113" s="7">
        <f>E113-0.5*F113</f>
        <v>32.71474040746993</v>
      </c>
      <c r="H113" s="7">
        <f>G113+H114</f>
        <v>51.999803093321134</v>
      </c>
      <c r="I113" s="8">
        <f>H113/E113</f>
        <v>1.1663014366100142</v>
      </c>
    </row>
    <row r="114" spans="1:9">
      <c r="A114" s="4" t="s">
        <v>229</v>
      </c>
      <c r="B114" s="5">
        <f>Fuente_mx!C115</f>
        <v>0.80662834</v>
      </c>
      <c r="C114" s="5">
        <f>2*B114/(2+B114)</f>
        <v>0.5748023908288478</v>
      </c>
      <c r="D114" s="5">
        <f>1-C114</f>
        <v>0.42519760917115224</v>
      </c>
      <c r="E114" s="7">
        <f>E113-F113</f>
        <v>20.8442634251162</v>
      </c>
      <c r="F114" s="7">
        <f>E114*C114</f>
        <v>11.981332451823098</v>
      </c>
      <c r="G114" s="7">
        <f>E114-0.5*F114</f>
        <v>14.85359719920465</v>
      </c>
      <c r="H114" s="7">
        <f>G114+H115</f>
        <v>19.2850626858512</v>
      </c>
      <c r="I114" s="8">
        <f>H114/E114</f>
        <v>0.9251976091711522</v>
      </c>
    </row>
    <row r="115" spans="1:9">
      <c r="A115" s="4" t="s">
        <v>231</v>
      </c>
      <c r="B115" s="5">
        <f>Fuente_mx!C116</f>
        <v>0.8976119</v>
      </c>
      <c r="C115" s="5">
        <f>1</f>
        <v>1.0</v>
      </c>
      <c r="D115" s="5">
        <f>1-C115</f>
        <v>0.0</v>
      </c>
      <c r="E115" s="7">
        <f>E114-F114</f>
        <v>8.862930973293102</v>
      </c>
      <c r="F115" s="7">
        <f>E115*C115</f>
        <v>8.862930973293102</v>
      </c>
      <c r="G115" s="7">
        <f>E115-0.5*F115</f>
        <v>4.431465486646551</v>
      </c>
      <c r="H115" s="7">
        <f>G115</f>
        <v>4.431465486646551</v>
      </c>
      <c r="I115" s="8">
        <f>H115/E115</f>
        <v>0.5</v>
      </c>
    </row>
  </sheetData>
  <autoFilter ref="A5:I115"/>
  <mergeCells count="2">
    <mergeCell ref="A1:I1"/>
    <mergeCell ref="B3:I3"/>
  </mergeCells>
  <conditionalFormatting sqref="C6:C115">
    <cfRule type="dataBar" priority="1">
      <dataBar>
        <cfvo type="min" val="0"/>
        <cfvo type="max" val="0"/>
        <color rgb="FF5B9BD5"/>
      </dataBar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39.7109375" customWidth="1"/>
    <col min="2" max="2" width="13.7109375" customWidth="1"/>
    <col min="3" max="3" width="40.7109375" customWidth="1"/>
    <col min="4" max="4" width="18.7109375" customWidth="1"/>
    <col min="5" max="5" width="80.7109375" customWidth="1"/>
  </cols>
  <sheetData>
    <row r="1" spans="1:5" ht="25" customHeight="1">
      <c r="A1" s="1" t="s">
        <v>252</v>
      </c>
      <c r="B1" s="1"/>
      <c r="C1" s="1"/>
      <c r="D1" s="1"/>
      <c r="E1" s="1"/>
    </row>
    <row r="2" spans="1:5">
      <c r="A2" s="6" t="s">
        <v>253</v>
      </c>
    </row>
    <row r="4" spans="1:5">
      <c r="A4" s="3" t="s">
        <v>254</v>
      </c>
      <c r="B4" s="3" t="s">
        <v>255</v>
      </c>
      <c r="C4" s="3" t="s">
        <v>256</v>
      </c>
      <c r="D4" s="3" t="s">
        <v>257</v>
      </c>
      <c r="E4" s="3" t="s">
        <v>258</v>
      </c>
    </row>
    <row r="5" spans="1:5">
      <c r="A5" s="10" t="s">
        <v>259</v>
      </c>
      <c r="B5" s="11" t="str">
        <f>IF(AND(MIN(Tabla_Mortalidad!C6:C115)&gt;=0,MAX(Tabla_Mortalidad!C6:C115)&lt;=1),"CUMPLE","REVISAR")</f>
        <v>CUMPLE</v>
      </c>
      <c r="C5" s="10" t="s">
        <v>260</v>
      </c>
      <c r="D5" s="10" t="s">
        <v>261</v>
      </c>
      <c r="E5" s="9">
        <f>IF(AND(MIN(Tabla_Mortalidad!C6:C115)&gt;=0,MAX(Tabla_Mortalidad!C6:C115)&lt;=1),"CUMPLE","REVISAR")</f>
        <v>0</v>
      </c>
    </row>
    <row r="6" spans="1:5">
      <c r="A6" s="10" t="s">
        <v>262</v>
      </c>
      <c r="B6" s="11" t="str">
        <f>IF(AND(MIN(Tabla_Mortalidad!E6:E115)&gt;=0,SUMPRODUCT(--(Tabla_Mortalidad!E7:E115&gt;Tabla_Mortalidad!E6:E114))=0),"CUMPLE","REVISAR")</f>
        <v>CUMPLE</v>
      </c>
      <c r="C6" s="10" t="s">
        <v>263</v>
      </c>
      <c r="D6" s="10" t="s">
        <v>264</v>
      </c>
      <c r="E6" s="9">
        <f>IF(AND(MIN(Tabla_Mortalidad!E6:E115)&gt;=0,SUMPRODUCT(--(Tabla_Mortalidad!E7:E115&gt;Tabla_Mortalidad!E6:E114))=0),"CUMPLE","REVISAR")</f>
        <v>0</v>
      </c>
    </row>
    <row r="7" spans="1:5">
      <c r="A7" s="10" t="s">
        <v>265</v>
      </c>
      <c r="B7" s="11" t="str">
        <f>IF(MIN(Tabla_Mortalidad!F6:F115)&gt;=0,"CUMPLE","REVISAR")</f>
        <v>CUMPLE</v>
      </c>
      <c r="C7" s="10" t="s">
        <v>266</v>
      </c>
      <c r="D7" s="10" t="s">
        <v>267</v>
      </c>
      <c r="E7" s="9">
        <f>IF(MIN(Tabla_Mortalidad!F6:F115)&gt;=0,"CUMPLE","REVISAR")</f>
        <v>0</v>
      </c>
    </row>
    <row r="8" spans="1:5">
      <c r="A8" s="10" t="s">
        <v>268</v>
      </c>
      <c r="B8" s="11" t="str">
        <f>IF(SUMPRODUCT(ABS(Tabla_Mortalidad!E6:E114-Tabla_Mortalidad!F6:F114-Tabla_Mortalidad!E7:E115))&lt;=1E-8,"CUMPLE","REVISAR")</f>
        <v>CUMPLE</v>
      </c>
      <c r="C8" s="10" t="s">
        <v>269</v>
      </c>
      <c r="D8" s="10" t="s">
        <v>270</v>
      </c>
      <c r="E8" s="9">
        <f>IF(SUMPRODUCT(ABS(Tabla_Mortalidad!E6:E114-Tabla_Mortalidad!F6:F114-Tabla_Mortalidad!E7:E115))&lt;=1E-8,"CUMPLE","REVISAR")</f>
        <v>0</v>
      </c>
    </row>
    <row r="9" spans="1:5">
      <c r="A9" s="10" t="s">
        <v>271</v>
      </c>
      <c r="B9" s="11" t="str">
        <f>IF(ABS(SUM(Tabla_Mortalidad!F6:F115)-100000)&lt;=1E-8,"CUMPLE","REVISAR")</f>
        <v>CUMPLE</v>
      </c>
      <c r="C9" s="10" t="s">
        <v>272</v>
      </c>
      <c r="D9" s="10" t="s">
        <v>270</v>
      </c>
      <c r="E9" s="9">
        <f>IF(ABS(SUM(Tabla_Mortalidad!F6:F115)-100000)&lt;=1E-8,"CUMPLE","REVISAR")</f>
        <v>0</v>
      </c>
    </row>
    <row r="10" spans="1:5">
      <c r="A10" s="10" t="s">
        <v>273</v>
      </c>
      <c r="B10" s="11" t="str">
        <f>IF(ABS(Tabla_Mortalidad!E115-Tabla_Mortalidad!F115)&lt;=1E-10,"CUMPLE","REVISAR")</f>
        <v>CUMPLE</v>
      </c>
      <c r="C10" s="10" t="s">
        <v>274</v>
      </c>
      <c r="D10" s="10" t="s">
        <v>275</v>
      </c>
      <c r="E10" s="9">
        <f>IF(ABS(Tabla_Mortalidad!E115-Tabla_Mortalidad!F115)&lt;=1E-10,"CUMPLE","REVISAR")</f>
        <v>0</v>
      </c>
    </row>
    <row r="11" spans="1:5">
      <c r="A11" s="10" t="s">
        <v>276</v>
      </c>
      <c r="B11" s="11" t="str">
        <f>IF(AND(SUMPRODUCT(--(Tabla_Mortalidad!G6:G115&gt;Tabla_Mortalidad!E6:E115))=0,SUMPRODUCT(--(Tabla_Mortalidad!G6:G114&lt;Tabla_Mortalidad!E7:E115))=0),"CUMPLE","REVISAR")</f>
        <v>CUMPLE</v>
      </c>
      <c r="C11" s="10" t="s">
        <v>277</v>
      </c>
      <c r="D11" s="10" t="s">
        <v>261</v>
      </c>
      <c r="E11" s="9">
        <f>IF(AND(SUMPRODUCT(--(Tabla_Mortalidad!G6:G115&gt;Tabla_Mortalidad!E6:E115))=0,SUMPRODUCT(--(Tabla_Mortalidad!G6:G114&lt;Tabla_Mortalidad!E7:E115))=0),"CUMPLE","REVISAR")</f>
        <v>0</v>
      </c>
    </row>
    <row r="12" spans="1:5">
      <c r="A12" s="10" t="s">
        <v>278</v>
      </c>
      <c r="B12" s="11" t="str">
        <f>IF(SUMPRODUCT(ABS(Tabla_Mortalidad!H6:H114-Tabla_Mortalidad!G6:G114-Tabla_Mortalidad!H7:H115))&lt;=1E-8,"CUMPLE","REVISAR")</f>
        <v>CUMPLE</v>
      </c>
      <c r="C12" s="10" t="s">
        <v>279</v>
      </c>
      <c r="D12" s="10" t="s">
        <v>270</v>
      </c>
      <c r="E12" s="9">
        <f>IF(SUMPRODUCT(ABS(Tabla_Mortalidad!H6:H114-Tabla_Mortalidad!G6:G114-Tabla_Mortalidad!H7:H115))&lt;=1E-8,"CUMPLE","REVISAR")</f>
        <v>0</v>
      </c>
    </row>
    <row r="13" spans="1:5">
      <c r="A13" s="10" t="s">
        <v>280</v>
      </c>
      <c r="B13" s="11" t="str">
        <f>IF(ABS(Tabla_Mortalidad!H115-Tabla_Mortalidad!G115)&lt;=1E-12,"CUMPLE","REVISAR")</f>
        <v>CUMPLE</v>
      </c>
      <c r="C13" s="10" t="s">
        <v>281</v>
      </c>
      <c r="D13" s="10" t="s">
        <v>282</v>
      </c>
      <c r="E13" s="9">
        <f>IF(ABS(Tabla_Mortalidad!H115-Tabla_Mortalidad!G115)&lt;=1E-12,"CUMPLE","REVISAR")</f>
        <v>0</v>
      </c>
    </row>
    <row r="14" spans="1:5">
      <c r="A14" s="10" t="s">
        <v>283</v>
      </c>
      <c r="B14" s="11" t="str">
        <f>IF(SUMPRODUCT(ABS(Tabla_Mortalidad!I6:I115-Tabla_Mortalidad!H6:H115/Tabla_Mortalidad!E6:E115))&lt;=1E-12,"CUMPLE","REVISAR")</f>
        <v>CUMPLE</v>
      </c>
      <c r="C14" s="10" t="s">
        <v>284</v>
      </c>
      <c r="D14" s="10" t="s">
        <v>282</v>
      </c>
      <c r="E14" s="9">
        <f>IF(SUMPRODUCT(ABS(Tabla_Mortalidad!I6:I115-Tabla_Mortalidad!H6:H115/Tabla_Mortalidad!E6:E115))&lt;=1E-12,"CUMPLE","REVISAR")</f>
        <v>0</v>
      </c>
    </row>
    <row r="15" spans="1:5">
      <c r="A15" s="10" t="s">
        <v>285</v>
      </c>
      <c r="B15" s="11" t="str">
        <f>IF(AND(Tabla_Mortalidad!C115=1,ABS(Tabla_Mortalidad!I115-0.5)&lt;=1E-12),"CUMPLE","REVISAR")</f>
        <v>CUMPLE</v>
      </c>
      <c r="C15" s="10" t="s">
        <v>286</v>
      </c>
      <c r="D15" s="10" t="s">
        <v>287</v>
      </c>
      <c r="E15" s="9">
        <f>IF(AND(Tabla_Mortalidad!C115=1,ABS(Tabla_Mortalidad!I115-0.5)&lt;=1E-12),"CUMPLE","REVISAR")</f>
        <v>0</v>
      </c>
    </row>
    <row r="16" spans="1:5">
      <c r="A16" s="10" t="s">
        <v>288</v>
      </c>
      <c r="B16" s="11" t="str">
        <f>IF(COUNT(Tabla_Mortalidad!B6:I115)=880,"CUMPLE","REVISAR")</f>
        <v>CUMPLE</v>
      </c>
      <c r="C16" s="10" t="s">
        <v>289</v>
      </c>
      <c r="D16" s="10" t="s">
        <v>290</v>
      </c>
      <c r="E16" s="9">
        <f>IF(COUNT(Tabla_Mortalidad!B6:I115)=880,"CUMPLE","REVISAR")</f>
        <v>0</v>
      </c>
    </row>
    <row r="19" spans="1:2">
      <c r="A19" s="3" t="s">
        <v>291</v>
      </c>
    </row>
    <row r="20" spans="1:2">
      <c r="A20" s="2" t="s">
        <v>292</v>
      </c>
      <c r="B20" t="s">
        <v>293</v>
      </c>
    </row>
    <row r="21" spans="1:2">
      <c r="A21" s="2" t="s">
        <v>294</v>
      </c>
      <c r="B21" t="s">
        <v>29</v>
      </c>
    </row>
    <row r="22" spans="1:2">
      <c r="A22" s="2" t="s">
        <v>295</v>
      </c>
      <c r="B22" t="s">
        <v>296</v>
      </c>
    </row>
    <row r="23" spans="1:2">
      <c r="A23" s="2" t="s">
        <v>297</v>
      </c>
      <c r="B23" t="s">
        <v>13</v>
      </c>
    </row>
    <row r="24" spans="1:2">
      <c r="A24" s="2" t="s">
        <v>298</v>
      </c>
      <c r="B24" t="s">
        <v>299</v>
      </c>
    </row>
    <row r="25" spans="1:2">
      <c r="A25" s="2" t="s">
        <v>300</v>
      </c>
      <c r="B25" t="s">
        <v>301</v>
      </c>
    </row>
    <row r="26" spans="1:2">
      <c r="A26" s="2" t="s">
        <v>302</v>
      </c>
      <c r="B26" t="s">
        <v>303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cols>
    <col min="1" max="18" width="9.7109375" customWidth="1"/>
  </cols>
  <sheetData>
    <row r="1" spans="1:18" ht="25" customHeight="1">
      <c r="A1" s="1" t="s">
        <v>304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s="6" t="s">
        <v>305</v>
      </c>
    </row>
  </sheetData>
  <mergeCells count="1">
    <mergeCell ref="A1:R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Fuente_mx</vt:lpstr>
      <vt:lpstr>Tabla_Mortalidad</vt:lpstr>
      <vt:lpstr>Controles</vt:lpstr>
      <vt:lpstr>Graficas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Tabla de mortalidad — Serie 08</dc:title>
  <dc:subject>Funciones biométricas bajo distribución uniforme de las muertes</dc:subject>
  <dc:creator>Raúl Antonio Ruano Katz</dc:creator>
  <dc:description>Generado a partir de las tasas mx individuales; radix 100,000.</dc:description>
  <cp:lastModifiedBy>Raúl Antonio Ruano Katz</cp:lastModifiedBy>
  <dcterms:created xsi:type="dcterms:W3CDTF">2026-10-06T02:00:07Z</dcterms:created>
  <dcterms:modified xsi:type="dcterms:W3CDTF">2026-10-06T02:00:07Z</dcterms:modified>
</cp:coreProperties>
</file>